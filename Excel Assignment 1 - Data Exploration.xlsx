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 Assignment\"/>
    </mc:Choice>
  </mc:AlternateContent>
  <xr:revisionPtr revIDLastSave="0" documentId="13_ncr:1_{98CF1949-2EE7-4BF2-A978-F5DEC13DE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4" r:id="rId1"/>
    <sheet name="Dataset" sheetId="1" r:id="rId2"/>
    <sheet name="Data Exploration" sheetId="2" r:id="rId3"/>
    <sheet name="Observation" sheetId="3" r:id="rId4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M11" i="2"/>
  <c r="M10" i="2"/>
  <c r="M9" i="2"/>
  <c r="M8" i="2"/>
  <c r="M7" i="2"/>
  <c r="M6" i="2"/>
  <c r="M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</calcChain>
</file>

<file path=xl/sharedStrings.xml><?xml version="1.0" encoding="utf-8"?>
<sst xmlns="http://schemas.openxmlformats.org/spreadsheetml/2006/main" count="329" uniqueCount="138">
  <si>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</si>
  <si>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</si>
  <si>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</si>
  <si>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</si>
  <si>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</si>
  <si>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</si>
  <si>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</si>
  <si>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</si>
  <si>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</si>
  <si>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</si>
  <si>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</si>
  <si>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</si>
  <si>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</si>
  <si>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</si>
  <si>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</si>
  <si>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</si>
  <si>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</si>
  <si>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</si>
  <si>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</si>
  <si>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</si>
  <si>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</si>
  <si>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</si>
  <si>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</si>
  <si>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</si>
  <si>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</si>
  <si>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</si>
  <si>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</si>
  <si>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</si>
  <si>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</si>
  <si>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</si>
  <si>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</si>
  <si>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</si>
  <si>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</si>
  <si>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</si>
  <si>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</si>
  <si>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</si>
  <si>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</si>
  <si>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</si>
  <si>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</si>
  <si>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</si>
  <si>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</si>
  <si>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</si>
  <si>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</si>
  <si>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</si>
  <si>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</si>
  <si>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</si>
  <si>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</si>
  <si>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</si>
  <si>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</si>
  <si>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</si>
  <si>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</si>
  <si>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</si>
  <si>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</si>
  <si>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</si>
  <si>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</si>
  <si>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</si>
  <si>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</si>
  <si>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</si>
  <si>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</si>
  <si>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</si>
  <si>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</si>
  <si>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</si>
  <si>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</si>
  <si>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</si>
  <si>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</si>
  <si>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</si>
  <si>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</si>
  <si>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</si>
  <si>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</si>
  <si>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</si>
  <si>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</si>
  <si>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</si>
  <si>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</si>
  <si>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</si>
  <si>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</si>
  <si>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</si>
  <si>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</si>
  <si>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</si>
  <si>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</si>
  <si>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</si>
  <si>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</si>
  <si>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</si>
  <si>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</si>
  <si>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</si>
  <si>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</si>
  <si>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</si>
  <si>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</si>
  <si>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</si>
  <si>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</si>
  <si>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</si>
  <si>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</si>
  <si>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</si>
  <si>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</si>
  <si>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</si>
  <si>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</si>
  <si>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Month</t>
  </si>
  <si>
    <t>OBSERVATION</t>
  </si>
  <si>
    <t>Minimum Price</t>
  </si>
  <si>
    <t>Maximum Price</t>
  </si>
  <si>
    <t>Total Price (Electronics)</t>
  </si>
  <si>
    <t>Total Price of All Products</t>
  </si>
  <si>
    <t>Total Number of Products</t>
  </si>
  <si>
    <t>Average Price of Products</t>
  </si>
  <si>
    <t>Number of Products (Price leass than 100)</t>
  </si>
  <si>
    <t xml:space="preserve"> Country Code</t>
  </si>
  <si>
    <t>1. Total number of products in the dataset: 34 with use of COUNTA function.</t>
  </si>
  <si>
    <t xml:space="preserve">2. Total price of all products is $10,100 with the use of SUM function. </t>
  </si>
  <si>
    <t>3.The average product price is $297.06 with the use of AVERAGE function.</t>
  </si>
  <si>
    <t xml:space="preserve">4. The minimum product price is $30,while the maximum product price is $1,000 with the use of MIN and MAX function. </t>
  </si>
  <si>
    <t>5. Based on the IF condition, 8 products are classified as High Price (&gt;= $500) and 26 as Standard Price.</t>
  </si>
  <si>
    <t>6. Electronics is the largest category with 15 products.</t>
  </si>
  <si>
    <t>7. Total price of Electronics products is $8,050, with the use of SUMIF function which is the highest category contribution.</t>
  </si>
  <si>
    <t xml:space="preserve">8. There are 11 products priced below $100 with the use of COUNT function. </t>
  </si>
  <si>
    <t>9. Product IDs contain day, month, and country code information extracted using LEFT, MID, and RIGHT functions.</t>
  </si>
  <si>
    <t>Tasks: </t>
  </si>
  <si>
    <t>Basic Data Exploration </t>
  </si>
  <si>
    <r>
      <t xml:space="preserve">1. </t>
    </r>
    <r>
      <rPr>
        <b/>
        <sz val="12"/>
        <color rgb="FF000000"/>
        <rFont val="Calibri"/>
        <family val="2"/>
      </rPr>
      <t>Sum, Count, and Average </t>
    </r>
  </si>
  <si>
    <t>Perform the following calculations using Excel functions: </t>
  </si>
  <si>
    <r>
      <t xml:space="preserve">● </t>
    </r>
    <r>
      <rPr>
        <sz val="12"/>
        <color rgb="FF000000"/>
        <rFont val="Calibri"/>
        <family val="2"/>
      </rPr>
      <t xml:space="preserve">Calculate the </t>
    </r>
    <r>
      <rPr>
        <b/>
        <sz val="12"/>
        <color rgb="FF000000"/>
        <rFont val="Calibri"/>
        <family val="2"/>
      </rPr>
      <t xml:space="preserve">total price of all products </t>
    </r>
    <r>
      <rPr>
        <sz val="12"/>
        <color rgb="FF000000"/>
        <rFont val="Calibri"/>
        <family val="2"/>
      </rPr>
      <t>in the dataset. </t>
    </r>
  </si>
  <si>
    <r>
      <t xml:space="preserve">● </t>
    </r>
    <r>
      <rPr>
        <sz val="12"/>
        <color rgb="FF000000"/>
        <rFont val="Calibri"/>
        <family val="2"/>
      </rPr>
      <t xml:space="preserve">Determine </t>
    </r>
    <r>
      <rPr>
        <b/>
        <sz val="12"/>
        <color rgb="FF000000"/>
        <rFont val="Calibri"/>
        <family val="2"/>
      </rPr>
      <t>how many products exist in the dataset. </t>
    </r>
  </si>
  <si>
    <r>
      <t xml:space="preserve">● </t>
    </r>
    <r>
      <rPr>
        <sz val="12"/>
        <color rgb="FF000000"/>
        <rFont val="Calibri"/>
        <family val="2"/>
      </rPr>
      <t xml:space="preserve">Calculate the </t>
    </r>
    <r>
      <rPr>
        <b/>
        <sz val="12"/>
        <color rgb="FF000000"/>
        <rFont val="Calibri"/>
        <family val="2"/>
      </rPr>
      <t>average price of the products</t>
    </r>
    <r>
      <rPr>
        <sz val="12"/>
        <color rgb="FF000000"/>
        <rFont val="Calibri"/>
        <family val="2"/>
      </rPr>
      <t>. </t>
    </r>
  </si>
  <si>
    <r>
      <t xml:space="preserve">2. </t>
    </r>
    <r>
      <rPr>
        <b/>
        <sz val="12"/>
        <color rgb="FF000000"/>
        <rFont val="Calibri"/>
        <family val="2"/>
      </rPr>
      <t>Minimum and Maximum Values </t>
    </r>
  </si>
  <si>
    <t>Using Excel functions: </t>
  </si>
  <si>
    <r>
      <t xml:space="preserve">● </t>
    </r>
    <r>
      <rPr>
        <sz val="12"/>
        <color rgb="FF000000"/>
        <rFont val="Calibri"/>
        <family val="2"/>
      </rPr>
      <t xml:space="preserve">Identify the </t>
    </r>
    <r>
      <rPr>
        <b/>
        <sz val="12"/>
        <color rgb="FF000000"/>
        <rFont val="Calibri"/>
        <family val="2"/>
      </rPr>
      <t xml:space="preserve">minimum price </t>
    </r>
    <r>
      <rPr>
        <sz val="12"/>
        <color rgb="FF000000"/>
        <rFont val="Calibri"/>
        <family val="2"/>
      </rPr>
      <t>among all products. </t>
    </r>
  </si>
  <si>
    <r>
      <t xml:space="preserve">● </t>
    </r>
    <r>
      <rPr>
        <sz val="12"/>
        <color rgb="FF000000"/>
        <rFont val="Calibri"/>
        <family val="2"/>
      </rPr>
      <t xml:space="preserve">Identify the </t>
    </r>
    <r>
      <rPr>
        <b/>
        <sz val="12"/>
        <color rgb="FF000000"/>
        <rFont val="Calibri"/>
        <family val="2"/>
      </rPr>
      <t xml:space="preserve">maximum price </t>
    </r>
    <r>
      <rPr>
        <sz val="12"/>
        <color rgb="FF000000"/>
        <rFont val="Calibri"/>
        <family val="2"/>
      </rPr>
      <t>among all products.</t>
    </r>
  </si>
  <si>
    <r>
      <t xml:space="preserve">3. </t>
    </r>
    <r>
      <rPr>
        <b/>
        <sz val="12"/>
        <color rgb="FF000000"/>
        <rFont val="Calibri"/>
        <family val="2"/>
      </rPr>
      <t>Logical Function – IF </t>
    </r>
  </si>
  <si>
    <r>
      <t xml:space="preserve">● </t>
    </r>
    <r>
      <rPr>
        <sz val="12"/>
        <color rgb="FF000000"/>
        <rFont val="Calibri"/>
        <family val="2"/>
      </rPr>
      <t xml:space="preserve">Create a new column named </t>
    </r>
    <r>
      <rPr>
        <b/>
        <sz val="12"/>
        <color rgb="FF000000"/>
        <rFont val="Calibri"/>
        <family val="2"/>
      </rPr>
      <t>Price Range</t>
    </r>
    <r>
      <rPr>
        <sz val="12"/>
        <color rgb="FF000000"/>
        <rFont val="Calibri"/>
        <family val="2"/>
      </rPr>
      <t>. </t>
    </r>
  </si>
  <si>
    <r>
      <t xml:space="preserve">● </t>
    </r>
    <r>
      <rPr>
        <sz val="12"/>
        <color rgb="FF000000"/>
        <rFont val="Calibri"/>
        <family val="2"/>
      </rPr>
      <t xml:space="preserve">Use the </t>
    </r>
    <r>
      <rPr>
        <b/>
        <sz val="12"/>
        <color rgb="FF000000"/>
        <rFont val="Calibri"/>
        <family val="2"/>
      </rPr>
      <t xml:space="preserve">IF function </t>
    </r>
    <r>
      <rPr>
        <sz val="12"/>
        <color rgb="FF000000"/>
        <rFont val="Calibri"/>
        <family val="2"/>
      </rPr>
      <t xml:space="preserve">to categorize products based on their price: </t>
    </r>
    <r>
      <rPr>
        <sz val="12"/>
        <color rgb="FF000000"/>
        <rFont val="Arial"/>
        <family val="2"/>
        <scheme val="minor"/>
      </rPr>
      <t xml:space="preserve">○ </t>
    </r>
    <r>
      <rPr>
        <sz val="12"/>
        <color rgb="FF000000"/>
        <rFont val="Calibri"/>
        <family val="2"/>
      </rPr>
      <t xml:space="preserve">If </t>
    </r>
    <r>
      <rPr>
        <b/>
        <sz val="12"/>
        <color rgb="FF000000"/>
        <rFont val="Calibri"/>
        <family val="2"/>
      </rPr>
      <t xml:space="preserve">Price </t>
    </r>
    <r>
      <rPr>
        <b/>
        <sz val="12"/>
        <color rgb="FF000000"/>
        <rFont val="Arial"/>
        <family val="2"/>
        <scheme val="minor"/>
      </rPr>
      <t xml:space="preserve">≥ </t>
    </r>
    <r>
      <rPr>
        <b/>
        <sz val="12"/>
        <color rgb="FF000000"/>
        <rFont val="Calibri"/>
        <family val="2"/>
      </rPr>
      <t xml:space="preserve">$500 </t>
    </r>
    <r>
      <rPr>
        <sz val="12"/>
        <color rgb="FF000000"/>
        <rFont val="Arial"/>
        <family val="2"/>
        <scheme val="minor"/>
      </rPr>
      <t xml:space="preserve">→ </t>
    </r>
    <r>
      <rPr>
        <sz val="12"/>
        <color rgb="FF000000"/>
        <rFont val="Calibri"/>
        <family val="2"/>
      </rPr>
      <t xml:space="preserve">classify as </t>
    </r>
    <r>
      <rPr>
        <b/>
        <sz val="12"/>
        <color rgb="FF000000"/>
        <rFont val="Calibri"/>
        <family val="2"/>
      </rPr>
      <t>High Price </t>
    </r>
  </si>
  <si>
    <r>
      <t xml:space="preserve">○ </t>
    </r>
    <r>
      <rPr>
        <sz val="12"/>
        <color rgb="FF000000"/>
        <rFont val="Calibri"/>
        <family val="2"/>
      </rPr>
      <t xml:space="preserve">If </t>
    </r>
    <r>
      <rPr>
        <b/>
        <sz val="12"/>
        <color rgb="FF000000"/>
        <rFont val="Calibri"/>
        <family val="2"/>
      </rPr>
      <t xml:space="preserve">Price &lt; $500 </t>
    </r>
    <r>
      <rPr>
        <sz val="12"/>
        <color rgb="FF000000"/>
        <rFont val="Arial"/>
        <family val="2"/>
        <scheme val="minor"/>
      </rPr>
      <t xml:space="preserve">→ </t>
    </r>
    <r>
      <rPr>
        <sz val="12"/>
        <color rgb="FF000000"/>
        <rFont val="Calibri"/>
        <family val="2"/>
      </rPr>
      <t xml:space="preserve">classify as </t>
    </r>
    <r>
      <rPr>
        <b/>
        <sz val="12"/>
        <color rgb="FF000000"/>
        <rFont val="Calibri"/>
        <family val="2"/>
      </rPr>
      <t>Standard Price </t>
    </r>
  </si>
  <si>
    <t>4. Conditional Functions – SUMIF and COUNTIF </t>
  </si>
  <si>
    <t>Perform the following conditional calculations: </t>
  </si>
  <si>
    <r>
      <t xml:space="preserve">● </t>
    </r>
    <r>
      <rPr>
        <sz val="12"/>
        <color rgb="FF000000"/>
        <rFont val="Calibri"/>
        <family val="2"/>
      </rPr>
      <t xml:space="preserve">Use the </t>
    </r>
    <r>
      <rPr>
        <b/>
        <sz val="12"/>
        <color rgb="FF000000"/>
        <rFont val="Calibri"/>
        <family val="2"/>
      </rPr>
      <t xml:space="preserve">SUMIF function </t>
    </r>
    <r>
      <rPr>
        <sz val="12"/>
        <color rgb="FF000000"/>
        <rFont val="Calibri"/>
        <family val="2"/>
      </rPr>
      <t xml:space="preserve">to calculate the </t>
    </r>
    <r>
      <rPr>
        <b/>
        <sz val="12"/>
        <color rgb="FF000000"/>
        <rFont val="Calibri"/>
        <family val="2"/>
      </rPr>
      <t>total price of products in the Electronics category</t>
    </r>
    <r>
      <rPr>
        <sz val="12"/>
        <color rgb="FF000000"/>
        <rFont val="Calibri"/>
        <family val="2"/>
      </rPr>
      <t>. </t>
    </r>
  </si>
  <si>
    <r>
      <t xml:space="preserve">● </t>
    </r>
    <r>
      <rPr>
        <sz val="12"/>
        <color rgb="FF000000"/>
        <rFont val="Calibri"/>
        <family val="2"/>
      </rPr>
      <t xml:space="preserve">Use the </t>
    </r>
    <r>
      <rPr>
        <b/>
        <sz val="12"/>
        <color rgb="FF000000"/>
        <rFont val="Calibri"/>
        <family val="2"/>
      </rPr>
      <t xml:space="preserve">COUNTIF function </t>
    </r>
    <r>
      <rPr>
        <sz val="12"/>
        <color rgb="FF000000"/>
        <rFont val="Calibri"/>
        <family val="2"/>
      </rPr>
      <t xml:space="preserve">to determine the </t>
    </r>
    <r>
      <rPr>
        <b/>
        <sz val="12"/>
        <color rgb="FF000000"/>
        <rFont val="Calibri"/>
        <family val="2"/>
      </rPr>
      <t>number of products with a price less than $100</t>
    </r>
    <r>
      <rPr>
        <sz val="12"/>
        <color rgb="FF000000"/>
        <rFont val="Calibri"/>
        <family val="2"/>
      </rPr>
      <t>. </t>
    </r>
  </si>
  <si>
    <t>5. Text Formatting – LEFT, RIGHT, MID </t>
  </si>
  <si>
    <r>
      <t xml:space="preserve">● </t>
    </r>
    <r>
      <rPr>
        <sz val="12"/>
        <color rgb="FF000000"/>
        <rFont val="Calibri"/>
        <family val="2"/>
      </rPr>
      <t xml:space="preserve">Use text functions to extract information from the </t>
    </r>
    <r>
      <rPr>
        <b/>
        <sz val="12"/>
        <color rgb="FF000000"/>
        <rFont val="Calibri"/>
        <family val="2"/>
      </rPr>
      <t xml:space="preserve">Product ID </t>
    </r>
    <r>
      <rPr>
        <sz val="12"/>
        <color rgb="FF000000"/>
        <rFont val="Calibri"/>
        <family val="2"/>
      </rPr>
      <t xml:space="preserve">column. </t>
    </r>
    <r>
      <rPr>
        <sz val="12"/>
        <color rgb="FF000000"/>
        <rFont val="Arial"/>
        <family val="2"/>
        <scheme val="minor"/>
      </rPr>
      <t xml:space="preserve">● </t>
    </r>
    <r>
      <rPr>
        <sz val="12"/>
        <color rgb="FF000000"/>
        <rFont val="Calibri"/>
        <family val="2"/>
      </rPr>
      <t>Create the following new columns: </t>
    </r>
  </si>
  <si>
    <r>
      <t xml:space="preserve">○ </t>
    </r>
    <r>
      <rPr>
        <sz val="12"/>
        <color rgb="FF000000"/>
        <rFont val="Calibri"/>
        <family val="2"/>
      </rPr>
      <t xml:space="preserve">Create a new column named </t>
    </r>
    <r>
      <rPr>
        <b/>
        <sz val="12"/>
        <color rgb="FF000000"/>
        <rFont val="Calibri"/>
        <family val="2"/>
      </rPr>
      <t xml:space="preserve">Day </t>
    </r>
    <r>
      <rPr>
        <sz val="12"/>
        <color rgb="FF000000"/>
        <rFont val="Calibri"/>
        <family val="2"/>
      </rPr>
      <t xml:space="preserve">with the first 2 characters of each </t>
    </r>
    <r>
      <rPr>
        <b/>
        <sz val="12"/>
        <color rgb="FF000000"/>
        <rFont val="Calibri"/>
        <family val="2"/>
      </rPr>
      <t>'Product ID</t>
    </r>
    <r>
      <rPr>
        <sz val="12"/>
        <color rgb="FF000000"/>
        <rFont val="Calibri"/>
        <family val="2"/>
      </rPr>
      <t xml:space="preserve">' using the </t>
    </r>
    <r>
      <rPr>
        <b/>
        <sz val="12"/>
        <color rgb="FF000000"/>
        <rFont val="Calibri"/>
        <family val="2"/>
      </rPr>
      <t>LEFT function</t>
    </r>
    <r>
      <rPr>
        <sz val="12"/>
        <color rgb="FF000000"/>
        <rFont val="Calibri"/>
        <family val="2"/>
      </rPr>
      <t>. </t>
    </r>
  </si>
  <si>
    <r>
      <t xml:space="preserve">○ </t>
    </r>
    <r>
      <rPr>
        <sz val="12"/>
        <color rgb="FF000000"/>
        <rFont val="Calibri"/>
        <family val="2"/>
      </rPr>
      <t xml:space="preserve">Create a new column named </t>
    </r>
    <r>
      <rPr>
        <b/>
        <sz val="12"/>
        <color rgb="FF000000"/>
        <rFont val="Calibri"/>
        <family val="2"/>
      </rPr>
      <t xml:space="preserve">Country Code </t>
    </r>
    <r>
      <rPr>
        <sz val="12"/>
        <color rgb="FF000000"/>
        <rFont val="Calibri"/>
        <family val="2"/>
      </rPr>
      <t xml:space="preserve">by extracting the last 2 characters from the </t>
    </r>
    <r>
      <rPr>
        <b/>
        <sz val="12"/>
        <color rgb="FF000000"/>
        <rFont val="Calibri"/>
        <family val="2"/>
      </rPr>
      <t xml:space="preserve">'Product ID' </t>
    </r>
    <r>
      <rPr>
        <sz val="12"/>
        <color rgb="FF000000"/>
        <rFont val="Calibri"/>
        <family val="2"/>
      </rPr>
      <t xml:space="preserve">column using the </t>
    </r>
    <r>
      <rPr>
        <b/>
        <sz val="12"/>
        <color rgb="FF000000"/>
        <rFont val="Calibri"/>
        <family val="2"/>
      </rPr>
      <t>RIGHT function</t>
    </r>
    <r>
      <rPr>
        <sz val="12"/>
        <color rgb="FF000000"/>
        <rFont val="Calibri"/>
        <family val="2"/>
      </rPr>
      <t>. </t>
    </r>
  </si>
  <si>
    <r>
      <t xml:space="preserve">○ </t>
    </r>
    <r>
      <rPr>
        <sz val="12"/>
        <color rgb="FF000000"/>
        <rFont val="Calibri"/>
        <family val="2"/>
      </rPr>
      <t xml:space="preserve">Create a new column named </t>
    </r>
    <r>
      <rPr>
        <b/>
        <sz val="12"/>
        <color rgb="FF000000"/>
        <rFont val="Calibri"/>
        <family val="2"/>
      </rPr>
      <t xml:space="preserve">Month </t>
    </r>
    <r>
      <rPr>
        <sz val="12"/>
        <color rgb="FF000000"/>
        <rFont val="Calibri"/>
        <family val="2"/>
      </rPr>
      <t xml:space="preserve">by extracting the 4th to 6th characters from the </t>
    </r>
    <r>
      <rPr>
        <b/>
        <sz val="12"/>
        <color rgb="FF000000"/>
        <rFont val="Calibri"/>
        <family val="2"/>
      </rPr>
      <t xml:space="preserve">'Product ID' </t>
    </r>
    <r>
      <rPr>
        <sz val="12"/>
        <color rgb="FF000000"/>
        <rFont val="Calibri"/>
        <family val="2"/>
      </rPr>
      <t xml:space="preserve">column using the </t>
    </r>
    <r>
      <rPr>
        <b/>
        <sz val="12"/>
        <color rgb="FF000000"/>
        <rFont val="Calibri"/>
        <family val="2"/>
      </rPr>
      <t>MID function</t>
    </r>
    <r>
      <rPr>
        <sz val="12"/>
        <color rgb="FF000000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</si>
</sst>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rgb="FF000000"/>
      <name val="Arial"/>
      <family val="2"/>
      <scheme val="minor"/>
    </font>
    <font>
      <b/>
      <sz val="10"/>
      <color rgb="FFFFFFFF"/>
      <name val="Arial"/>
    </font>
    <font>
      <b/>
      <sz val="11"/>
      <color rgb="FFFF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7"/>
      <color rgb="FF000000"/>
      <name val="Calibri"/>
      <family val="2"/>
    </font>
    <font>
      <b/>
      <i/>
      <sz val="13"/>
      <color rgb="FF000000"/>
      <name val="Calibri"/>
      <family val="2"/>
    </font>
    <font>
      <b/>
      <sz val="12"/>
      <color rgb="FF434343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F81BD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3" borderId="2" xfId="0" applyFont="1" applyFill="1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5" borderId="1" xfId="0" applyFont="1" applyFill="1" applyBorder="1"/>
    <xf numFmtId="0" fontId="2" fillId="5" borderId="5" xfId="0" applyFont="1" applyFill="1" applyBorder="1"/>
    <xf numFmtId="0" fontId="3" fillId="6" borderId="1" xfId="0" applyFont="1" applyFill="1" applyBorder="1"/>
    <xf numFmtId="0" fontId="2" fillId="5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8" borderId="1" xfId="0" applyFont="1" applyFill="1" applyBorder="1"/>
    <xf numFmtId="2" fontId="3" fillId="8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0E26F-1BD4-40AF-9ED8-4CA6EDC33EA4}" name="Table1" displayName="Table1" ref="A1:J35" totalsRowShown="0" headerRowDxfId="14" dataDxfId="12" headerRowBorderDxfId="13" tableBorderDxfId="11" totalsRowBorderDxfId="10">
  <tableColumns count="10">
    <tableColumn id="1" xr3:uid="{4CFBE82B-F59F-4A0E-9D23-68B66CECA7EA}" name="Product ID" dataDxfId="9"/>
    <tableColumn id="10" xr3:uid="{1AACCF4B-B3EC-4047-BEA2-85FB9FF8BAF5}" name="Day" dataDxfId="8">
      <calculatedColumnFormula>LEFT(A2,2)</calculatedColumnFormula>
    </tableColumn>
    <tableColumn id="11" xr3:uid="{9BDD1905-4619-46B0-ACFF-C27757504F33}" name=" Country Code" dataDxfId="7">
      <calculatedColumnFormula>RIGHT(A2,2)</calculatedColumnFormula>
    </tableColumn>
    <tableColumn id="12" xr3:uid="{5F7AA55E-E033-479B-AECF-6AC44F300C73}" name="Month" dataDxfId="6">
      <calculatedColumnFormula>MID(A2,4,3)</calculatedColumnFormula>
    </tableColumn>
    <tableColumn id="2" xr3:uid="{F1E1CEB7-4685-486E-B9EE-3A61EB357980}" name="Product Name" dataDxfId="5"/>
    <tableColumn id="3" xr3:uid="{A6E80FBF-48EC-42CB-8F6A-437B69EC8C41}" name="Brand Name" dataDxfId="4"/>
    <tableColumn id="4" xr3:uid="{E3EC3825-4ADC-4A1F-A6BF-DDE2CA19E231}" name="Price ($)" dataDxfId="3"/>
    <tableColumn id="9" xr3:uid="{ADA459AC-A579-4B60-8FB4-1E1C5466A3E2}" name="Price Range" dataDxfId="2">
      <calculatedColumnFormula>IF(G2&gt;=500,"High Price","Standard Price")</calculatedColumnFormula>
    </tableColumn>
    <tableColumn id="6" xr3:uid="{78E85441-0465-4781-A0BA-95B3440295F3}" name="Quantity" dataDxfId="1"/>
    <tableColumn id="7" xr3:uid="{7F1B2523-550F-44F6-B36C-2B64885B4FFC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37C-45A8-4969-B40D-6576F71B5995}">
  <dimension ref="A1:A24"/>
  <sheetViews>
    <sheetView tabSelected="1" workbookViewId="0">
      <selection activeCell="H14" sqref="H14"/>
    </sheetView>
  </sheetViews>
  <sheetFormatPr defaultRowHeight="13.2" x14ac:dyDescent="0.25"/>
  <cols>
    <col min="1" max="16384" width="8.88671875" style="25"/>
  </cols>
  <sheetData>
    <row r="1" spans="1:1" s="25" customFormat="1" ht="22.2" x14ac:dyDescent="0.25">
      <c r="A1" s="24" t="s">
        <v>114</v>
      </c>
    </row>
    <row r="2" spans="1:1" s="25" customFormat="1" ht="17.399999999999999" x14ac:dyDescent="0.25">
      <c r="A2" s="26" t="s">
        <v>115</v>
      </c>
    </row>
    <row r="3" spans="1:1" s="25" customFormat="1" ht="15.6" x14ac:dyDescent="0.25">
      <c r="A3" s="27" t="s">
        <v>116</v>
      </c>
    </row>
    <row r="4" spans="1:1" s="25" customFormat="1" ht="15.6" x14ac:dyDescent="0.25">
      <c r="A4" s="28" t="s">
        <v>117</v>
      </c>
    </row>
    <row r="5" spans="1:1" s="25" customFormat="1" ht="15.6" x14ac:dyDescent="0.25">
      <c r="A5" s="29" t="s">
        <v>118</v>
      </c>
    </row>
    <row r="6" spans="1:1" s="25" customFormat="1" ht="15.6" x14ac:dyDescent="0.25">
      <c r="A6" s="29" t="s">
        <v>119</v>
      </c>
    </row>
    <row r="7" spans="1:1" s="25" customFormat="1" ht="15.6" x14ac:dyDescent="0.25">
      <c r="A7" s="29" t="s">
        <v>120</v>
      </c>
    </row>
    <row r="8" spans="1:1" s="25" customFormat="1" ht="15.6" x14ac:dyDescent="0.25">
      <c r="A8" s="27" t="s">
        <v>121</v>
      </c>
    </row>
    <row r="9" spans="1:1" s="25" customFormat="1" ht="15.6" x14ac:dyDescent="0.25">
      <c r="A9" s="28" t="s">
        <v>122</v>
      </c>
    </row>
    <row r="10" spans="1:1" s="25" customFormat="1" ht="15.6" x14ac:dyDescent="0.25">
      <c r="A10" s="29" t="s">
        <v>123</v>
      </c>
    </row>
    <row r="11" spans="1:1" s="25" customFormat="1" ht="15.6" x14ac:dyDescent="0.25">
      <c r="A11" s="29" t="s">
        <v>124</v>
      </c>
    </row>
    <row r="12" spans="1:1" s="25" customFormat="1" ht="15.6" x14ac:dyDescent="0.25">
      <c r="A12" s="27" t="s">
        <v>125</v>
      </c>
    </row>
    <row r="13" spans="1:1" s="25" customFormat="1" ht="15.6" x14ac:dyDescent="0.25">
      <c r="A13" s="29" t="s">
        <v>126</v>
      </c>
    </row>
    <row r="14" spans="1:1" s="25" customFormat="1" ht="15.6" x14ac:dyDescent="0.25">
      <c r="A14" s="29" t="s">
        <v>127</v>
      </c>
    </row>
    <row r="15" spans="1:1" s="25" customFormat="1" ht="15.6" x14ac:dyDescent="0.25">
      <c r="A15" s="29" t="s">
        <v>128</v>
      </c>
    </row>
    <row r="16" spans="1:1" s="25" customFormat="1" ht="15.6" x14ac:dyDescent="0.25">
      <c r="A16" s="30" t="s">
        <v>129</v>
      </c>
    </row>
    <row r="17" spans="1:1" s="25" customFormat="1" ht="15.6" x14ac:dyDescent="0.25">
      <c r="A17" s="28" t="s">
        <v>130</v>
      </c>
    </row>
    <row r="18" spans="1:1" s="25" customFormat="1" ht="15.6" x14ac:dyDescent="0.25">
      <c r="A18" s="29" t="s">
        <v>131</v>
      </c>
    </row>
    <row r="19" spans="1:1" s="25" customFormat="1" ht="15.6" x14ac:dyDescent="0.25">
      <c r="A19" s="29" t="s">
        <v>132</v>
      </c>
    </row>
    <row r="20" spans="1:1" s="25" customFormat="1" ht="15.6" x14ac:dyDescent="0.25">
      <c r="A20" s="30" t="s">
        <v>133</v>
      </c>
    </row>
    <row r="21" spans="1:1" s="25" customFormat="1" ht="15.6" x14ac:dyDescent="0.25">
      <c r="A21" s="29" t="s">
        <v>134</v>
      </c>
    </row>
    <row r="22" spans="1:1" s="25" customFormat="1" ht="15.6" x14ac:dyDescent="0.25">
      <c r="A22" s="29" t="s">
        <v>135</v>
      </c>
    </row>
    <row r="23" spans="1:1" s="25" customFormat="1" ht="15.6" x14ac:dyDescent="0.25">
      <c r="A23" s="29" t="s">
        <v>136</v>
      </c>
    </row>
    <row r="24" spans="1:1" s="25" customFormat="1" ht="15.6" x14ac:dyDescent="0.25">
      <c r="A24" s="2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H1" sqref="H1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F388-F9A8-4820-9EEB-32F7901CBA73}">
  <sheetPr>
    <outlinePr summaryBelow="0" summaryRight="0"/>
  </sheetPr>
  <dimension ref="A1:M993"/>
  <sheetViews>
    <sheetView topLeftCell="D1" zoomScale="99" zoomScaleNormal="99" workbookViewId="0">
      <selection activeCell="M11" sqref="M11"/>
    </sheetView>
  </sheetViews>
  <sheetFormatPr defaultColWidth="12.6640625" defaultRowHeight="15" customHeight="1" x14ac:dyDescent="0.25"/>
  <cols>
    <col min="1" max="1" width="13" customWidth="1"/>
    <col min="2" max="2" width="15" customWidth="1"/>
    <col min="3" max="4" width="16" customWidth="1"/>
    <col min="5" max="5" width="18" customWidth="1"/>
    <col min="6" max="6" width="18.77734375" customWidth="1"/>
    <col min="7" max="7" width="20.88671875" customWidth="1"/>
    <col min="8" max="8" width="22.77734375" customWidth="1"/>
    <col min="9" max="9" width="11" customWidth="1"/>
    <col min="10" max="10" width="14" customWidth="1"/>
    <col min="12" max="12" width="54.44140625" bestFit="1" customWidth="1"/>
    <col min="13" max="13" width="17" bestFit="1" customWidth="1"/>
    <col min="14" max="14" width="10.77734375" bestFit="1" customWidth="1"/>
    <col min="15" max="15" width="7.88671875" bestFit="1" customWidth="1"/>
    <col min="16" max="16" width="7.6640625" bestFit="1" customWidth="1"/>
    <col min="17" max="17" width="8.33203125" bestFit="1" customWidth="1"/>
    <col min="18" max="18" width="11.33203125" bestFit="1" customWidth="1"/>
  </cols>
  <sheetData>
    <row r="1" spans="1:13" ht="15.75" customHeight="1" x14ac:dyDescent="0.25">
      <c r="A1" s="19" t="s">
        <v>0</v>
      </c>
      <c r="B1" s="19" t="s">
        <v>94</v>
      </c>
      <c r="C1" s="19" t="s">
        <v>104</v>
      </c>
      <c r="D1" s="19" t="s">
        <v>95</v>
      </c>
      <c r="E1" s="19" t="s">
        <v>1</v>
      </c>
      <c r="F1" s="19" t="s">
        <v>2</v>
      </c>
      <c r="G1" s="19" t="s">
        <v>3</v>
      </c>
      <c r="H1" s="19" t="s">
        <v>93</v>
      </c>
      <c r="I1" s="19" t="s">
        <v>4</v>
      </c>
      <c r="J1" s="19" t="s">
        <v>5</v>
      </c>
      <c r="K1" s="2"/>
    </row>
    <row r="2" spans="1:13" ht="15.75" customHeight="1" x14ac:dyDescent="0.25">
      <c r="A2" s="6" t="s">
        <v>6</v>
      </c>
      <c r="B2" s="18" t="str">
        <f t="shared" ref="B2:B35" si="0">LEFT(A2,2)</f>
        <v>28</v>
      </c>
      <c r="C2" s="18" t="str">
        <f t="shared" ref="C2:C35" si="1">RIGHT(A2,2)</f>
        <v>US</v>
      </c>
      <c r="D2" s="18" t="str">
        <f>MID(A2,4,3)</f>
        <v>JAN</v>
      </c>
      <c r="E2" s="7" t="s">
        <v>7</v>
      </c>
      <c r="F2" s="7" t="s">
        <v>8</v>
      </c>
      <c r="G2" s="7">
        <v>1000</v>
      </c>
      <c r="H2" s="15" t="str">
        <f t="shared" ref="H2:H35" si="2">IF(G2&gt;=500,"High Price","Standard Price")</f>
        <v>High Price</v>
      </c>
      <c r="I2" s="7">
        <v>30</v>
      </c>
      <c r="J2" s="8" t="s">
        <v>9</v>
      </c>
      <c r="K2" s="3"/>
    </row>
    <row r="3" spans="1:13" ht="15.75" customHeight="1" x14ac:dyDescent="0.25">
      <c r="A3" s="9" t="s">
        <v>10</v>
      </c>
      <c r="B3" s="18" t="str">
        <f t="shared" si="0"/>
        <v>15</v>
      </c>
      <c r="C3" s="18" t="str">
        <f t="shared" si="1"/>
        <v>US</v>
      </c>
      <c r="D3" s="18" t="str">
        <f t="shared" ref="D3:D35" si="3">MID(A3,4,3)</f>
        <v>FEB</v>
      </c>
      <c r="E3" s="10" t="s">
        <v>11</v>
      </c>
      <c r="F3" s="10" t="s">
        <v>12</v>
      </c>
      <c r="G3" s="10">
        <v>80</v>
      </c>
      <c r="H3" s="15" t="str">
        <f t="shared" si="2"/>
        <v>Standard Price</v>
      </c>
      <c r="I3" s="10">
        <v>15</v>
      </c>
      <c r="J3" s="11" t="s">
        <v>13</v>
      </c>
      <c r="K3" s="3"/>
    </row>
    <row r="4" spans="1:13" ht="15.75" customHeight="1" x14ac:dyDescent="0.25">
      <c r="A4" s="6" t="s">
        <v>14</v>
      </c>
      <c r="B4" s="18" t="str">
        <f t="shared" si="0"/>
        <v>03</v>
      </c>
      <c r="C4" s="18" t="str">
        <f t="shared" si="1"/>
        <v>US</v>
      </c>
      <c r="D4" s="18" t="str">
        <f t="shared" si="3"/>
        <v>MAR</v>
      </c>
      <c r="E4" s="7" t="s">
        <v>15</v>
      </c>
      <c r="F4" s="7" t="s">
        <v>16</v>
      </c>
      <c r="G4" s="7">
        <v>130</v>
      </c>
      <c r="H4" s="15" t="str">
        <f t="shared" si="2"/>
        <v>Standard Price</v>
      </c>
      <c r="I4" s="7">
        <v>40</v>
      </c>
      <c r="J4" s="8" t="s">
        <v>17</v>
      </c>
      <c r="K4" s="3"/>
    </row>
    <row r="5" spans="1:13" ht="15.75" customHeight="1" x14ac:dyDescent="0.3">
      <c r="A5" s="9" t="s">
        <v>18</v>
      </c>
      <c r="B5" s="18" t="str">
        <f t="shared" si="0"/>
        <v>11</v>
      </c>
      <c r="C5" s="18" t="str">
        <f t="shared" si="1"/>
        <v>US</v>
      </c>
      <c r="D5" s="18" t="str">
        <f t="shared" si="3"/>
        <v>APR</v>
      </c>
      <c r="E5" s="10" t="s">
        <v>19</v>
      </c>
      <c r="F5" s="10" t="s">
        <v>20</v>
      </c>
      <c r="G5" s="10">
        <v>900</v>
      </c>
      <c r="H5" s="15" t="str">
        <f t="shared" si="2"/>
        <v>High Price</v>
      </c>
      <c r="I5" s="10">
        <v>25</v>
      </c>
      <c r="J5" s="11" t="s">
        <v>9</v>
      </c>
      <c r="K5" s="3"/>
      <c r="L5" s="17" t="s">
        <v>100</v>
      </c>
      <c r="M5" s="20">
        <f>SUM($G$2:$G$35)</f>
        <v>10100</v>
      </c>
    </row>
    <row r="6" spans="1:13" ht="15.75" customHeight="1" x14ac:dyDescent="0.3">
      <c r="A6" s="6" t="s">
        <v>21</v>
      </c>
      <c r="B6" s="18" t="str">
        <f t="shared" si="0"/>
        <v>22</v>
      </c>
      <c r="C6" s="18" t="str">
        <f t="shared" si="1"/>
        <v>US</v>
      </c>
      <c r="D6" s="18" t="str">
        <f t="shared" si="3"/>
        <v>MAY</v>
      </c>
      <c r="E6" s="7" t="s">
        <v>22</v>
      </c>
      <c r="F6" s="7" t="s">
        <v>23</v>
      </c>
      <c r="G6" s="7">
        <v>70</v>
      </c>
      <c r="H6" s="15" t="str">
        <f t="shared" si="2"/>
        <v>Standard Price</v>
      </c>
      <c r="I6" s="7">
        <v>20</v>
      </c>
      <c r="J6" s="8" t="s">
        <v>24</v>
      </c>
      <c r="K6" s="3"/>
      <c r="L6" s="17" t="s">
        <v>101</v>
      </c>
      <c r="M6" s="20">
        <f>COUNTA($E$2:$E$35)</f>
        <v>34</v>
      </c>
    </row>
    <row r="7" spans="1:13" ht="15.75" customHeight="1" x14ac:dyDescent="0.3">
      <c r="A7" s="9" t="s">
        <v>25</v>
      </c>
      <c r="B7" s="18" t="str">
        <f t="shared" si="0"/>
        <v>07</v>
      </c>
      <c r="C7" s="18" t="str">
        <f t="shared" si="1"/>
        <v>UK</v>
      </c>
      <c r="D7" s="18" t="str">
        <f t="shared" si="3"/>
        <v>JUN</v>
      </c>
      <c r="E7" s="10" t="s">
        <v>26</v>
      </c>
      <c r="F7" s="10" t="s">
        <v>27</v>
      </c>
      <c r="G7" s="10">
        <v>200</v>
      </c>
      <c r="H7" s="15" t="str">
        <f t="shared" si="2"/>
        <v>Standard Price</v>
      </c>
      <c r="I7" s="10">
        <v>45</v>
      </c>
      <c r="J7" s="11" t="s">
        <v>9</v>
      </c>
      <c r="K7" s="3"/>
      <c r="L7" s="17" t="s">
        <v>102</v>
      </c>
      <c r="M7" s="21">
        <f>AVERAGE($G$2:$G$35)</f>
        <v>297.05882352941177</v>
      </c>
    </row>
    <row r="8" spans="1:13" ht="15.75" customHeight="1" x14ac:dyDescent="0.3">
      <c r="A8" s="6" t="s">
        <v>28</v>
      </c>
      <c r="B8" s="18" t="str">
        <f t="shared" si="0"/>
        <v>19</v>
      </c>
      <c r="C8" s="18" t="str">
        <f t="shared" si="1"/>
        <v>UK</v>
      </c>
      <c r="D8" s="18" t="str">
        <f t="shared" si="3"/>
        <v>JUL</v>
      </c>
      <c r="E8" s="7" t="s">
        <v>29</v>
      </c>
      <c r="F8" s="7" t="s">
        <v>30</v>
      </c>
      <c r="G8" s="7">
        <v>30</v>
      </c>
      <c r="H8" s="15" t="str">
        <f t="shared" si="2"/>
        <v>Standard Price</v>
      </c>
      <c r="I8" s="7">
        <v>5</v>
      </c>
      <c r="J8" s="8" t="s">
        <v>13</v>
      </c>
      <c r="K8" s="3"/>
      <c r="L8" s="17" t="s">
        <v>97</v>
      </c>
      <c r="M8" s="20">
        <f>MIN($G$2:$G$35)</f>
        <v>30</v>
      </c>
    </row>
    <row r="9" spans="1:13" ht="15.75" customHeight="1" x14ac:dyDescent="0.3">
      <c r="A9" s="9" t="s">
        <v>31</v>
      </c>
      <c r="B9" s="18" t="str">
        <f t="shared" si="0"/>
        <v>23</v>
      </c>
      <c r="C9" s="18" t="str">
        <f t="shared" si="1"/>
        <v>UK</v>
      </c>
      <c r="D9" s="18" t="str">
        <f t="shared" si="3"/>
        <v>AUG</v>
      </c>
      <c r="E9" s="10" t="s">
        <v>32</v>
      </c>
      <c r="F9" s="10" t="s">
        <v>33</v>
      </c>
      <c r="G9" s="10">
        <v>90</v>
      </c>
      <c r="H9" s="15" t="str">
        <f t="shared" si="2"/>
        <v>Standard Price</v>
      </c>
      <c r="I9" s="10">
        <v>35</v>
      </c>
      <c r="J9" s="11" t="s">
        <v>17</v>
      </c>
      <c r="K9" s="3"/>
      <c r="L9" s="17" t="s">
        <v>98</v>
      </c>
      <c r="M9" s="20">
        <f>MAX($G$2:$G$35)</f>
        <v>1000</v>
      </c>
    </row>
    <row r="10" spans="1:13" ht="15.75" customHeight="1" x14ac:dyDescent="0.3">
      <c r="A10" s="6" t="s">
        <v>34</v>
      </c>
      <c r="B10" s="18" t="str">
        <f t="shared" si="0"/>
        <v>05</v>
      </c>
      <c r="C10" s="18" t="str">
        <f t="shared" si="1"/>
        <v>UK</v>
      </c>
      <c r="D10" s="18" t="str">
        <f t="shared" si="3"/>
        <v>SEP</v>
      </c>
      <c r="E10" s="7" t="s">
        <v>35</v>
      </c>
      <c r="F10" s="7" t="s">
        <v>36</v>
      </c>
      <c r="G10" s="7">
        <v>500</v>
      </c>
      <c r="H10" s="15" t="str">
        <f t="shared" si="2"/>
        <v>High Price</v>
      </c>
      <c r="I10" s="7">
        <v>50</v>
      </c>
      <c r="J10" s="8" t="s">
        <v>9</v>
      </c>
      <c r="K10" s="3"/>
      <c r="L10" s="17" t="s">
        <v>99</v>
      </c>
      <c r="M10" s="20">
        <f>SUMIF($J$2:$J$35,"ELECTRONICS",$G$2:$G$35)</f>
        <v>8050</v>
      </c>
    </row>
    <row r="11" spans="1:13" ht="15.75" customHeight="1" x14ac:dyDescent="0.3">
      <c r="A11" s="9" t="s">
        <v>37</v>
      </c>
      <c r="B11" s="18" t="str">
        <f t="shared" si="0"/>
        <v>14</v>
      </c>
      <c r="C11" s="18" t="str">
        <f t="shared" si="1"/>
        <v>UK</v>
      </c>
      <c r="D11" s="18" t="str">
        <f t="shared" si="3"/>
        <v>OCT</v>
      </c>
      <c r="E11" s="10" t="s">
        <v>38</v>
      </c>
      <c r="F11" s="10" t="s">
        <v>39</v>
      </c>
      <c r="G11" s="10">
        <v>130</v>
      </c>
      <c r="H11" s="15" t="str">
        <f t="shared" si="2"/>
        <v>Standard Price</v>
      </c>
      <c r="I11" s="10">
        <v>10</v>
      </c>
      <c r="J11" s="11" t="s">
        <v>24</v>
      </c>
      <c r="K11" s="3"/>
      <c r="L11" s="17" t="s">
        <v>103</v>
      </c>
      <c r="M11" s="20">
        <f>COUNTIF($G$2:$G$35,"&lt;100")</f>
        <v>11</v>
      </c>
    </row>
    <row r="12" spans="1:13" ht="15.75" customHeight="1" x14ac:dyDescent="0.25">
      <c r="A12" s="6" t="s">
        <v>40</v>
      </c>
      <c r="B12" s="18" t="str">
        <f t="shared" si="0"/>
        <v>17</v>
      </c>
      <c r="C12" s="18" t="str">
        <f t="shared" si="1"/>
        <v>IN</v>
      </c>
      <c r="D12" s="18" t="str">
        <f t="shared" si="3"/>
        <v>JUN</v>
      </c>
      <c r="E12" s="7" t="s">
        <v>7</v>
      </c>
      <c r="F12" s="7" t="s">
        <v>41</v>
      </c>
      <c r="G12" s="7">
        <v>950</v>
      </c>
      <c r="H12" s="15" t="str">
        <f t="shared" si="2"/>
        <v>High Price</v>
      </c>
      <c r="I12" s="7">
        <v>25</v>
      </c>
      <c r="J12" s="8" t="s">
        <v>9</v>
      </c>
      <c r="K12" s="3"/>
    </row>
    <row r="13" spans="1:13" ht="15.75" customHeight="1" x14ac:dyDescent="0.25">
      <c r="A13" s="9" t="s">
        <v>42</v>
      </c>
      <c r="B13" s="18" t="str">
        <f t="shared" si="0"/>
        <v>25</v>
      </c>
      <c r="C13" s="18" t="str">
        <f t="shared" si="1"/>
        <v>AU</v>
      </c>
      <c r="D13" s="18" t="str">
        <f t="shared" si="3"/>
        <v>NOV</v>
      </c>
      <c r="E13" s="10" t="s">
        <v>11</v>
      </c>
      <c r="F13" s="10" t="s">
        <v>30</v>
      </c>
      <c r="G13" s="10">
        <v>90</v>
      </c>
      <c r="H13" s="15" t="str">
        <f t="shared" si="2"/>
        <v>Standard Price</v>
      </c>
      <c r="I13" s="10">
        <v>40</v>
      </c>
      <c r="J13" s="11" t="s">
        <v>13</v>
      </c>
      <c r="K13" s="3"/>
    </row>
    <row r="14" spans="1:13" ht="15.75" customHeight="1" x14ac:dyDescent="0.25">
      <c r="A14" s="6" t="s">
        <v>43</v>
      </c>
      <c r="B14" s="18" t="str">
        <f t="shared" si="0"/>
        <v>08</v>
      </c>
      <c r="C14" s="18" t="str">
        <f t="shared" si="1"/>
        <v>DE</v>
      </c>
      <c r="D14" s="18" t="str">
        <f t="shared" si="3"/>
        <v>DEC</v>
      </c>
      <c r="E14" s="7" t="s">
        <v>15</v>
      </c>
      <c r="F14" s="7" t="s">
        <v>44</v>
      </c>
      <c r="G14" s="7">
        <v>120</v>
      </c>
      <c r="H14" s="15" t="str">
        <f t="shared" si="2"/>
        <v>Standard Price</v>
      </c>
      <c r="I14" s="7">
        <v>35</v>
      </c>
      <c r="J14" s="8" t="s">
        <v>17</v>
      </c>
      <c r="K14" s="3"/>
    </row>
    <row r="15" spans="1:13" ht="15.75" customHeight="1" x14ac:dyDescent="0.25">
      <c r="A15" s="9" t="s">
        <v>45</v>
      </c>
      <c r="B15" s="18" t="str">
        <f t="shared" si="0"/>
        <v>18</v>
      </c>
      <c r="C15" s="18" t="str">
        <f t="shared" si="1"/>
        <v>CA</v>
      </c>
      <c r="D15" s="18" t="str">
        <f t="shared" si="3"/>
        <v>FEB</v>
      </c>
      <c r="E15" s="10" t="s">
        <v>46</v>
      </c>
      <c r="F15" s="10" t="s">
        <v>47</v>
      </c>
      <c r="G15" s="10">
        <v>150</v>
      </c>
      <c r="H15" s="15" t="str">
        <f t="shared" si="2"/>
        <v>Standard Price</v>
      </c>
      <c r="I15" s="10">
        <v>15</v>
      </c>
      <c r="J15" s="11" t="s">
        <v>9</v>
      </c>
      <c r="K15" s="3"/>
    </row>
    <row r="16" spans="1:13" ht="15.75" customHeight="1" x14ac:dyDescent="0.25">
      <c r="A16" s="6" t="s">
        <v>48</v>
      </c>
      <c r="B16" s="18" t="str">
        <f t="shared" si="0"/>
        <v>16</v>
      </c>
      <c r="C16" s="18" t="str">
        <f t="shared" si="1"/>
        <v>ES</v>
      </c>
      <c r="D16" s="18" t="str">
        <f t="shared" si="3"/>
        <v>APR</v>
      </c>
      <c r="E16" s="7" t="s">
        <v>26</v>
      </c>
      <c r="F16" s="7" t="s">
        <v>49</v>
      </c>
      <c r="G16" s="7">
        <v>250</v>
      </c>
      <c r="H16" s="15" t="str">
        <f t="shared" si="2"/>
        <v>Standard Price</v>
      </c>
      <c r="I16" s="7">
        <v>20</v>
      </c>
      <c r="J16" s="8" t="s">
        <v>9</v>
      </c>
      <c r="K16" s="3"/>
    </row>
    <row r="17" spans="1:11" ht="15.75" customHeight="1" x14ac:dyDescent="0.25">
      <c r="A17" s="9" t="s">
        <v>50</v>
      </c>
      <c r="B17" s="18" t="str">
        <f t="shared" si="0"/>
        <v>21</v>
      </c>
      <c r="C17" s="18" t="str">
        <f t="shared" si="1"/>
        <v>CA</v>
      </c>
      <c r="D17" s="18" t="str">
        <f t="shared" si="3"/>
        <v>AUG</v>
      </c>
      <c r="E17" s="10" t="s">
        <v>51</v>
      </c>
      <c r="F17" s="10" t="s">
        <v>52</v>
      </c>
      <c r="G17" s="10">
        <v>50</v>
      </c>
      <c r="H17" s="15" t="str">
        <f t="shared" si="2"/>
        <v>Standard Price</v>
      </c>
      <c r="I17" s="10">
        <v>35</v>
      </c>
      <c r="J17" s="11" t="s">
        <v>53</v>
      </c>
      <c r="K17" s="3"/>
    </row>
    <row r="18" spans="1:11" ht="15.75" customHeight="1" x14ac:dyDescent="0.25">
      <c r="A18" s="6" t="s">
        <v>54</v>
      </c>
      <c r="B18" s="18" t="str">
        <f t="shared" si="0"/>
        <v>20</v>
      </c>
      <c r="C18" s="18" t="str">
        <f t="shared" si="1"/>
        <v>CN</v>
      </c>
      <c r="D18" s="18" t="str">
        <f t="shared" si="3"/>
        <v>AUG</v>
      </c>
      <c r="E18" s="7" t="s">
        <v>46</v>
      </c>
      <c r="F18" s="7" t="s">
        <v>55</v>
      </c>
      <c r="G18" s="7">
        <v>160</v>
      </c>
      <c r="H18" s="15" t="str">
        <f t="shared" si="2"/>
        <v>Standard Price</v>
      </c>
      <c r="I18" s="7">
        <v>15</v>
      </c>
      <c r="J18" s="8" t="s">
        <v>9</v>
      </c>
      <c r="K18" s="3"/>
    </row>
    <row r="19" spans="1:11" ht="15.75" customHeight="1" x14ac:dyDescent="0.25">
      <c r="A19" s="9" t="s">
        <v>56</v>
      </c>
      <c r="B19" s="18" t="str">
        <f t="shared" si="0"/>
        <v>27</v>
      </c>
      <c r="C19" s="18" t="str">
        <f t="shared" si="1"/>
        <v>IT</v>
      </c>
      <c r="D19" s="18" t="str">
        <f t="shared" si="3"/>
        <v>JAN</v>
      </c>
      <c r="E19" s="10" t="s">
        <v>7</v>
      </c>
      <c r="F19" s="10" t="s">
        <v>57</v>
      </c>
      <c r="G19" s="10">
        <v>980</v>
      </c>
      <c r="H19" s="15" t="str">
        <f t="shared" si="2"/>
        <v>High Price</v>
      </c>
      <c r="I19" s="10">
        <v>10</v>
      </c>
      <c r="J19" s="11" t="s">
        <v>9</v>
      </c>
      <c r="K19" s="3"/>
    </row>
    <row r="20" spans="1:11" ht="15.75" customHeight="1" x14ac:dyDescent="0.25">
      <c r="A20" s="6" t="s">
        <v>58</v>
      </c>
      <c r="B20" s="18" t="str">
        <f t="shared" si="0"/>
        <v>01</v>
      </c>
      <c r="C20" s="18" t="str">
        <f t="shared" si="1"/>
        <v>UK</v>
      </c>
      <c r="D20" s="18" t="str">
        <f t="shared" si="3"/>
        <v>MAR</v>
      </c>
      <c r="E20" s="7" t="s">
        <v>59</v>
      </c>
      <c r="F20" s="7" t="s">
        <v>60</v>
      </c>
      <c r="G20" s="7">
        <v>150</v>
      </c>
      <c r="H20" s="15" t="str">
        <f t="shared" si="2"/>
        <v>Standard Price</v>
      </c>
      <c r="I20" s="7">
        <v>15</v>
      </c>
      <c r="J20" s="8" t="s">
        <v>13</v>
      </c>
      <c r="K20" s="3"/>
    </row>
    <row r="21" spans="1:11" ht="15.75" customHeight="1" x14ac:dyDescent="0.25">
      <c r="A21" s="9" t="s">
        <v>61</v>
      </c>
      <c r="B21" s="18" t="str">
        <f t="shared" si="0"/>
        <v>14</v>
      </c>
      <c r="C21" s="18" t="str">
        <f t="shared" si="1"/>
        <v>US</v>
      </c>
      <c r="D21" s="18" t="str">
        <f t="shared" si="3"/>
        <v>AUG</v>
      </c>
      <c r="E21" s="10" t="s">
        <v>62</v>
      </c>
      <c r="F21" s="10" t="s">
        <v>63</v>
      </c>
      <c r="G21" s="10">
        <v>200</v>
      </c>
      <c r="H21" s="15" t="str">
        <f t="shared" si="2"/>
        <v>Standard Price</v>
      </c>
      <c r="I21" s="10">
        <v>10</v>
      </c>
      <c r="J21" s="11" t="s">
        <v>24</v>
      </c>
      <c r="K21" s="3"/>
    </row>
    <row r="22" spans="1:11" ht="15.75" customHeight="1" x14ac:dyDescent="0.25">
      <c r="A22" s="6" t="s">
        <v>64</v>
      </c>
      <c r="B22" s="18" t="str">
        <f t="shared" si="0"/>
        <v>14</v>
      </c>
      <c r="C22" s="18" t="str">
        <f t="shared" si="1"/>
        <v>RU</v>
      </c>
      <c r="D22" s="18" t="str">
        <f t="shared" si="3"/>
        <v>MAY</v>
      </c>
      <c r="E22" s="7" t="s">
        <v>65</v>
      </c>
      <c r="F22" s="7" t="s">
        <v>66</v>
      </c>
      <c r="G22" s="7">
        <v>700</v>
      </c>
      <c r="H22" s="15" t="str">
        <f t="shared" si="2"/>
        <v>High Price</v>
      </c>
      <c r="I22" s="7">
        <v>50</v>
      </c>
      <c r="J22" s="8" t="s">
        <v>9</v>
      </c>
      <c r="K22" s="3"/>
    </row>
    <row r="23" spans="1:11" ht="15.75" customHeight="1" x14ac:dyDescent="0.25">
      <c r="A23" s="9" t="s">
        <v>67</v>
      </c>
      <c r="B23" s="18" t="str">
        <f t="shared" si="0"/>
        <v>09</v>
      </c>
      <c r="C23" s="18" t="str">
        <f t="shared" si="1"/>
        <v>CA</v>
      </c>
      <c r="D23" s="18" t="str">
        <f t="shared" si="3"/>
        <v>JAN</v>
      </c>
      <c r="E23" s="10" t="s">
        <v>68</v>
      </c>
      <c r="F23" s="10" t="s">
        <v>69</v>
      </c>
      <c r="G23" s="10">
        <v>80</v>
      </c>
      <c r="H23" s="15" t="str">
        <f t="shared" si="2"/>
        <v>Standard Price</v>
      </c>
      <c r="I23" s="10">
        <v>20</v>
      </c>
      <c r="J23" s="11" t="s">
        <v>17</v>
      </c>
      <c r="K23" s="3"/>
    </row>
    <row r="24" spans="1:11" ht="15.75" customHeight="1" x14ac:dyDescent="0.25">
      <c r="A24" s="6" t="s">
        <v>70</v>
      </c>
      <c r="B24" s="18" t="str">
        <f t="shared" si="0"/>
        <v>19</v>
      </c>
      <c r="C24" s="18" t="str">
        <f t="shared" si="1"/>
        <v>BR</v>
      </c>
      <c r="D24" s="18" t="str">
        <f t="shared" si="3"/>
        <v>JUL</v>
      </c>
      <c r="E24" s="7" t="s">
        <v>71</v>
      </c>
      <c r="F24" s="7" t="s">
        <v>72</v>
      </c>
      <c r="G24" s="7">
        <v>150</v>
      </c>
      <c r="H24" s="15" t="str">
        <f t="shared" si="2"/>
        <v>Standard Price</v>
      </c>
      <c r="I24" s="7">
        <v>30</v>
      </c>
      <c r="J24" s="8" t="s">
        <v>9</v>
      </c>
      <c r="K24" s="3"/>
    </row>
    <row r="25" spans="1:11" ht="15.75" customHeight="1" x14ac:dyDescent="0.25">
      <c r="A25" s="9" t="s">
        <v>50</v>
      </c>
      <c r="B25" s="18" t="str">
        <f t="shared" si="0"/>
        <v>21</v>
      </c>
      <c r="C25" s="18" t="str">
        <f t="shared" si="1"/>
        <v>CA</v>
      </c>
      <c r="D25" s="18" t="str">
        <f t="shared" si="3"/>
        <v>AUG</v>
      </c>
      <c r="E25" s="10" t="s">
        <v>51</v>
      </c>
      <c r="F25" s="10" t="s">
        <v>52</v>
      </c>
      <c r="G25" s="10">
        <v>50</v>
      </c>
      <c r="H25" s="15" t="str">
        <f t="shared" si="2"/>
        <v>Standard Price</v>
      </c>
      <c r="I25" s="10">
        <v>35</v>
      </c>
      <c r="J25" s="11" t="s">
        <v>53</v>
      </c>
      <c r="K25" s="3"/>
    </row>
    <row r="26" spans="1:11" ht="15.75" customHeight="1" x14ac:dyDescent="0.25">
      <c r="A26" s="6" t="s">
        <v>73</v>
      </c>
      <c r="B26" s="18" t="str">
        <f t="shared" si="0"/>
        <v>29</v>
      </c>
      <c r="C26" s="18" t="str">
        <f t="shared" si="1"/>
        <v>CA</v>
      </c>
      <c r="D26" s="18" t="str">
        <f t="shared" si="3"/>
        <v>SEP</v>
      </c>
      <c r="E26" s="7" t="s">
        <v>19</v>
      </c>
      <c r="F26" s="7" t="s">
        <v>74</v>
      </c>
      <c r="G26" s="7">
        <v>800</v>
      </c>
      <c r="H26" s="15" t="str">
        <f t="shared" si="2"/>
        <v>High Price</v>
      </c>
      <c r="I26" s="7">
        <v>45</v>
      </c>
      <c r="J26" s="8" t="s">
        <v>9</v>
      </c>
      <c r="K26" s="3"/>
    </row>
    <row r="27" spans="1:11" ht="15.75" customHeight="1" x14ac:dyDescent="0.25">
      <c r="A27" s="9" t="s">
        <v>75</v>
      </c>
      <c r="B27" s="18" t="str">
        <f t="shared" si="0"/>
        <v>03</v>
      </c>
      <c r="C27" s="18" t="str">
        <f t="shared" si="1"/>
        <v>CA</v>
      </c>
      <c r="D27" s="18" t="str">
        <f t="shared" si="3"/>
        <v>JUN</v>
      </c>
      <c r="E27" s="10" t="s">
        <v>59</v>
      </c>
      <c r="F27" s="10" t="s">
        <v>76</v>
      </c>
      <c r="G27" s="10">
        <v>130</v>
      </c>
      <c r="H27" s="15" t="str">
        <f t="shared" si="2"/>
        <v>Standard Price</v>
      </c>
      <c r="I27" s="10">
        <v>25</v>
      </c>
      <c r="J27" s="11" t="s">
        <v>13</v>
      </c>
      <c r="K27" s="3"/>
    </row>
    <row r="28" spans="1:11" ht="15.75" customHeight="1" x14ac:dyDescent="0.25">
      <c r="A28" s="6" t="s">
        <v>77</v>
      </c>
      <c r="B28" s="18" t="str">
        <f t="shared" si="0"/>
        <v>11</v>
      </c>
      <c r="C28" s="18" t="str">
        <f t="shared" si="1"/>
        <v>CA</v>
      </c>
      <c r="D28" s="18" t="str">
        <f t="shared" si="3"/>
        <v>JUL</v>
      </c>
      <c r="E28" s="7" t="s">
        <v>32</v>
      </c>
      <c r="F28" s="7" t="s">
        <v>78</v>
      </c>
      <c r="G28" s="7">
        <v>400</v>
      </c>
      <c r="H28" s="15" t="str">
        <f t="shared" si="2"/>
        <v>Standard Price</v>
      </c>
      <c r="I28" s="7">
        <v>40</v>
      </c>
      <c r="J28" s="8" t="s">
        <v>17</v>
      </c>
      <c r="K28" s="3"/>
    </row>
    <row r="29" spans="1:11" ht="15.75" customHeight="1" x14ac:dyDescent="0.25">
      <c r="A29" s="9" t="s">
        <v>48</v>
      </c>
      <c r="B29" s="18" t="str">
        <f t="shared" si="0"/>
        <v>16</v>
      </c>
      <c r="C29" s="18" t="str">
        <f t="shared" si="1"/>
        <v>ES</v>
      </c>
      <c r="D29" s="18" t="str">
        <f t="shared" si="3"/>
        <v>APR</v>
      </c>
      <c r="E29" s="10" t="s">
        <v>26</v>
      </c>
      <c r="F29" s="10" t="s">
        <v>49</v>
      </c>
      <c r="G29" s="10">
        <v>230</v>
      </c>
      <c r="H29" s="15" t="str">
        <f t="shared" si="2"/>
        <v>Standard Price</v>
      </c>
      <c r="I29" s="10">
        <v>20</v>
      </c>
      <c r="J29" s="11" t="s">
        <v>9</v>
      </c>
      <c r="K29" s="3"/>
    </row>
    <row r="30" spans="1:11" ht="15.75" customHeight="1" x14ac:dyDescent="0.25">
      <c r="A30" s="6" t="s">
        <v>79</v>
      </c>
      <c r="B30" s="18" t="str">
        <f t="shared" si="0"/>
        <v>07</v>
      </c>
      <c r="C30" s="18" t="str">
        <f t="shared" si="1"/>
        <v>CA</v>
      </c>
      <c r="D30" s="18" t="str">
        <f t="shared" si="3"/>
        <v>MAR</v>
      </c>
      <c r="E30" s="7" t="s">
        <v>80</v>
      </c>
      <c r="F30" s="7" t="s">
        <v>81</v>
      </c>
      <c r="G30" s="7">
        <v>60</v>
      </c>
      <c r="H30" s="15" t="str">
        <f t="shared" si="2"/>
        <v>Standard Price</v>
      </c>
      <c r="I30" s="7">
        <v>30</v>
      </c>
      <c r="J30" s="8" t="s">
        <v>13</v>
      </c>
      <c r="K30" s="3"/>
    </row>
    <row r="31" spans="1:11" ht="15.75" customHeight="1" x14ac:dyDescent="0.25">
      <c r="A31" s="9" t="s">
        <v>82</v>
      </c>
      <c r="B31" s="18" t="str">
        <f t="shared" si="0"/>
        <v>13</v>
      </c>
      <c r="C31" s="18" t="str">
        <f t="shared" si="1"/>
        <v>CA</v>
      </c>
      <c r="D31" s="18" t="str">
        <f t="shared" si="3"/>
        <v>APR</v>
      </c>
      <c r="E31" s="10" t="s">
        <v>83</v>
      </c>
      <c r="F31" s="10" t="s">
        <v>84</v>
      </c>
      <c r="G31" s="10">
        <v>40</v>
      </c>
      <c r="H31" s="15" t="str">
        <f t="shared" si="2"/>
        <v>Standard Price</v>
      </c>
      <c r="I31" s="10">
        <v>10</v>
      </c>
      <c r="J31" s="11" t="s">
        <v>17</v>
      </c>
      <c r="K31" s="3"/>
    </row>
    <row r="32" spans="1:11" ht="15.75" customHeight="1" x14ac:dyDescent="0.25">
      <c r="A32" s="6" t="s">
        <v>85</v>
      </c>
      <c r="B32" s="18" t="str">
        <f t="shared" si="0"/>
        <v>24</v>
      </c>
      <c r="C32" s="18" t="str">
        <f t="shared" si="1"/>
        <v>CA</v>
      </c>
      <c r="D32" s="18" t="str">
        <f t="shared" si="3"/>
        <v>MAY</v>
      </c>
      <c r="E32" s="7" t="s">
        <v>71</v>
      </c>
      <c r="F32" s="7" t="s">
        <v>86</v>
      </c>
      <c r="G32" s="7">
        <v>130</v>
      </c>
      <c r="H32" s="15" t="str">
        <f t="shared" si="2"/>
        <v>Standard Price</v>
      </c>
      <c r="I32" s="7">
        <v>5</v>
      </c>
      <c r="J32" s="8" t="s">
        <v>9</v>
      </c>
      <c r="K32" s="3"/>
    </row>
    <row r="33" spans="1:11" ht="15.75" customHeight="1" x14ac:dyDescent="0.25">
      <c r="A33" s="9" t="s">
        <v>87</v>
      </c>
      <c r="B33" s="18" t="str">
        <f t="shared" si="0"/>
        <v>02</v>
      </c>
      <c r="C33" s="18" t="str">
        <f t="shared" si="1"/>
        <v>CA</v>
      </c>
      <c r="D33" s="18" t="str">
        <f t="shared" si="3"/>
        <v>DEC</v>
      </c>
      <c r="E33" s="10" t="s">
        <v>88</v>
      </c>
      <c r="F33" s="10" t="s">
        <v>89</v>
      </c>
      <c r="G33" s="10">
        <v>50</v>
      </c>
      <c r="H33" s="15" t="str">
        <f t="shared" si="2"/>
        <v>Standard Price</v>
      </c>
      <c r="I33" s="10">
        <v>50</v>
      </c>
      <c r="J33" s="11" t="s">
        <v>13</v>
      </c>
      <c r="K33" s="3"/>
    </row>
    <row r="34" spans="1:11" ht="15.75" customHeight="1" x14ac:dyDescent="0.25">
      <c r="A34" s="6" t="s">
        <v>40</v>
      </c>
      <c r="B34" s="18" t="str">
        <f t="shared" si="0"/>
        <v>17</v>
      </c>
      <c r="C34" s="18" t="str">
        <f t="shared" si="1"/>
        <v>IN</v>
      </c>
      <c r="D34" s="18" t="str">
        <f t="shared" si="3"/>
        <v>JUN</v>
      </c>
      <c r="E34" s="7" t="s">
        <v>7</v>
      </c>
      <c r="F34" s="7" t="s">
        <v>41</v>
      </c>
      <c r="G34" s="7">
        <v>950</v>
      </c>
      <c r="H34" s="15" t="str">
        <f t="shared" si="2"/>
        <v>High Price</v>
      </c>
      <c r="I34" s="7">
        <v>25</v>
      </c>
      <c r="J34" s="8" t="s">
        <v>9</v>
      </c>
      <c r="K34" s="3"/>
    </row>
    <row r="35" spans="1:11" ht="15.75" customHeight="1" x14ac:dyDescent="0.25">
      <c r="A35" s="12" t="s">
        <v>90</v>
      </c>
      <c r="B35" s="18" t="str">
        <f t="shared" si="0"/>
        <v>09</v>
      </c>
      <c r="C35" s="18" t="str">
        <f t="shared" si="1"/>
        <v>FR</v>
      </c>
      <c r="D35" s="18" t="str">
        <f t="shared" si="3"/>
        <v>JUL</v>
      </c>
      <c r="E35" s="13" t="s">
        <v>91</v>
      </c>
      <c r="F35" s="13" t="s">
        <v>92</v>
      </c>
      <c r="G35" s="13">
        <v>100</v>
      </c>
      <c r="H35" s="16" t="str">
        <f t="shared" si="2"/>
        <v>Standard Price</v>
      </c>
      <c r="I35" s="13">
        <v>20</v>
      </c>
      <c r="J35" s="14" t="s">
        <v>53</v>
      </c>
      <c r="K35" s="3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CD2-67CB-45FF-AB3C-F06F52EAD906}">
  <dimension ref="A1:K10"/>
  <sheetViews>
    <sheetView workbookViewId="0">
      <selection activeCell="G23" sqref="G23"/>
    </sheetView>
  </sheetViews>
  <sheetFormatPr defaultRowHeight="13.2" x14ac:dyDescent="0.25"/>
  <cols>
    <col min="1" max="2" width="8.88671875" customWidth="1"/>
  </cols>
  <sheetData>
    <row r="1" spans="1:11" ht="13.8" x14ac:dyDescent="0.25">
      <c r="A1" s="22" t="s">
        <v>96</v>
      </c>
      <c r="B1" s="22"/>
    </row>
    <row r="2" spans="1:11" ht="15" x14ac:dyDescent="0.25">
      <c r="A2" s="23" t="s">
        <v>105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5" x14ac:dyDescent="0.25">
      <c r="A3" s="23" t="s">
        <v>106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5" x14ac:dyDescent="0.25">
      <c r="A4" s="23" t="s">
        <v>107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" x14ac:dyDescent="0.25">
      <c r="A5" s="23" t="s">
        <v>108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15" x14ac:dyDescent="0.25">
      <c r="A6" s="23" t="s">
        <v>109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 t="s">
        <v>110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 t="s">
        <v>111</v>
      </c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 t="s">
        <v>112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 t="s">
        <v>113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Dataset</vt:lpstr>
      <vt:lpstr>Data Exploration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Sastha S</cp:lastModifiedBy>
  <dcterms:modified xsi:type="dcterms:W3CDTF">2026-06-22T07:14:36Z</dcterms:modified>
</cp:coreProperties>
</file>