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 Assignment\Assignment 2\"/>
    </mc:Choice>
  </mc:AlternateContent>
  <xr:revisionPtr revIDLastSave="0" documentId="13_ncr:1_{7D6F106F-3393-4AD9-B135-93EC8415B864}" xr6:coauthVersionLast="47" xr6:coauthVersionMax="47" xr10:uidLastSave="{00000000-0000-0000-0000-000000000000}"/>
  <bookViews>
    <workbookView xWindow="-108" yWindow="-108" windowWidth="23256" windowHeight="12456" activeTab="2" xr2:uid="{4C747B16-4052-4E6E-B97F-4403FF044BCF}"/>
  </bookViews>
  <sheets>
    <sheet name="Instruction" sheetId="2" r:id="rId1"/>
    <sheet name="Data set" sheetId="1" r:id="rId2"/>
    <sheet name="Data Cleaning" sheetId="3" r:id="rId3"/>
    <sheet name="Data Cleaned" sheetId="5" r:id="rId4"/>
    <sheet name="Observation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F2" i="5"/>
  <c r="K2" i="3"/>
  <c r="K3" i="3" l="1"/>
</calcChain>
</file>

<file path=xl/sharedStrings.xml><?xml version="1.0" encoding="utf-8"?>
<sst xmlns="http://schemas.openxmlformats.org/spreadsheetml/2006/main" count="519" uniqueCount="150">
  <si>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</si>
  <si>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</si>
  <si>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</si>
  <si>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</si>
  <si>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</si>
  <si>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</si>
  <si>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</si>
  <si>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</si>
  <si>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</si>
  <si>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</si>
  <si>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</si>
  <si>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</si>
  <si>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</si>
  <si>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</si>
  <si>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</si>
  <si>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</si>
  <si>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</si>
  <si>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</si>
  <si>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</si>
  <si>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</si>
  <si>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</si>
  <si>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</si>
  <si>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</si>
  <si>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</si>
  <si>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</si>
  <si>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</si>
  <si>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</si>
  <si>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</si>
  <si>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</si>
  <si>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</si>
  <si>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</si>
  <si>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</si>
  <si>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</si>
  <si>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</si>
  <si>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</si>
  <si>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</si>
  <si>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</si>
  <si>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</si>
  <si>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</si>
  <si>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</si>
  <si>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</si>
  <si>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</si>
  <si>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</si>
  <si>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</si>
  <si>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</si>
  <si>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</si>
  <si>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</si>
  <si>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</si>
  <si>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</si>
  <si>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</si>
  <si>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</si>
  <si>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</si>
  <si>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</si>
  <si>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</si>
  <si>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</si>
  <si>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</si>
  <si>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</si>
  <si>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</si>
  <si>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</si>
  <si>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</si>
  <si>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</si>
  <si>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</si>
  <si>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</si>
  <si>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</si>
  <si>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</si>
  <si>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</si>
  <si>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</si>
  <si>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</si>
  <si>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</si>
  <si>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</si>
  <si>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</si>
  <si>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</si>
  <si>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</si>
  <si>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</si>
  <si>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</si>
  <si>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</si>
  <si>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</si>
  <si>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</si>
  <si>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</si>
  <si>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</si>
  <si>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</si>
  <si>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</si>
  <si>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</si>
  <si>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</si>
  <si>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</si>
  <si>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</si>
  <si>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</si>
  <si>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</si>
  <si>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</si>
  <si>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</si>
  <si>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</si>
  <si>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</si>
  <si>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</si>
  <si>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Dataset Description </t>
  </si>
  <si>
    <r>
      <t xml:space="preserve">Dataset: </t>
    </r>
    <r>
      <rPr>
        <b/>
        <u/>
        <sz val="13.95"/>
        <color rgb="FF1155CC"/>
        <rFont val="Calibri"/>
        <family val="2"/>
        <scheme val="minor"/>
      </rPr>
      <t>Product Dataset</t>
    </r>
    <r>
      <rPr>
        <b/>
        <sz val="13.95"/>
        <color rgb="FF1155CC"/>
        <rFont val="Calibri"/>
        <family val="2"/>
        <scheme val="minor"/>
      </rPr>
      <t> </t>
    </r>
  </si>
  <si>
    <r>
      <t xml:space="preserve">Attributes: </t>
    </r>
    <r>
      <rPr>
        <i/>
        <sz val="12"/>
        <color rgb="FF000000"/>
        <rFont val="Calibri"/>
        <family val="2"/>
        <scheme val="minor"/>
      </rPr>
      <t>Product ID, Product Name, Brand Name, Quantity, Category, Price </t>
    </r>
  </si>
  <si>
    <t>Tasks: </t>
  </si>
  <si>
    <t>1. Handling Missing Values:  </t>
  </si>
  <si>
    <r>
      <t xml:space="preserve">● </t>
    </r>
    <r>
      <rPr>
        <sz val="12"/>
        <color rgb="FF000000"/>
        <rFont val="Calibri"/>
        <family val="2"/>
        <scheme val="minor"/>
      </rPr>
      <t>Check for missing values in the 'Price' column. How would you handle products with missing price information?  </t>
    </r>
  </si>
  <si>
    <r>
      <t xml:space="preserve">● </t>
    </r>
    <r>
      <rPr>
        <sz val="12"/>
        <color rgb="FF000000"/>
        <rFont val="Calibri"/>
        <family val="2"/>
        <scheme val="minor"/>
      </rPr>
      <t>If there are products with missing categories, propose a strategy to impute or deal with these missing values effectively.  </t>
    </r>
  </si>
  <si>
    <t>2. Correcting Inconsistent Data:  </t>
  </si>
  <si>
    <r>
      <t xml:space="preserve">● </t>
    </r>
    <r>
      <rPr>
        <sz val="12"/>
        <color rgb="FF000000"/>
        <rFont val="Calibri"/>
        <family val="2"/>
        <scheme val="minor"/>
      </rPr>
      <t xml:space="preserve">Identify any inconsistent text formats present in the "Product Name" column.  </t>
    </r>
    <r>
      <rPr>
        <sz val="12"/>
        <color rgb="FF000000"/>
        <rFont val="Arial"/>
        <family val="2"/>
      </rPr>
      <t xml:space="preserve">● </t>
    </r>
    <r>
      <rPr>
        <sz val="12"/>
        <color rgb="FF000000"/>
        <rFont val="Calibri"/>
        <family val="2"/>
        <scheme val="minor"/>
      </rPr>
      <t>Identify any typos present in the "Category" column.  </t>
    </r>
  </si>
  <si>
    <r>
      <t xml:space="preserve">● </t>
    </r>
    <r>
      <rPr>
        <sz val="12"/>
        <color rgb="FF000000"/>
        <rFont val="Calibri"/>
        <family val="2"/>
        <scheme val="minor"/>
      </rPr>
      <t>Identify any duplicate rows within the dataset based on the entirety of each row, and remove them if any.  </t>
    </r>
  </si>
  <si>
    <t>4. Splitting and Merging Data: </t>
  </si>
  <si>
    <r>
      <t xml:space="preserve">● </t>
    </r>
    <r>
      <rPr>
        <sz val="12"/>
        <color rgb="FF000000"/>
        <rFont val="Calibri"/>
        <family val="2"/>
        <scheme val="minor"/>
      </rPr>
      <t>Split the "Product ID" column into two separate columns for " Manufacturing Date" and "Country Code". Remove unnecessary characters, if any.  </t>
    </r>
  </si>
  <si>
    <r>
      <t xml:space="preserve">● </t>
    </r>
    <r>
      <rPr>
        <sz val="12"/>
        <color rgb="FF000000"/>
        <rFont val="Calibri"/>
        <family val="2"/>
        <scheme val="minor"/>
      </rPr>
      <t>Merge the "Brand Name" and "Product Name" columns into one column named "Product Brand".  </t>
    </r>
  </si>
  <si>
    <t>5. Number Formatting: </t>
  </si>
  <si>
    <r>
      <t xml:space="preserve">● </t>
    </r>
    <r>
      <rPr>
        <sz val="12"/>
        <color rgb="FF000000"/>
        <rFont val="Calibri"/>
        <family val="2"/>
        <scheme val="minor"/>
      </rPr>
      <t>Format the data type of the "Price" column to a currency format.  </t>
    </r>
  </si>
  <si>
    <r>
      <t xml:space="preserve">● </t>
    </r>
    <r>
      <rPr>
        <sz val="12"/>
        <color rgb="FF000000"/>
        <rFont val="Calibri"/>
        <family val="2"/>
        <scheme val="minor"/>
      </rPr>
      <t>Format the "Manufacturing Date" column to display dates in the "DD-MM-YYYY " format.  </t>
    </r>
  </si>
  <si>
    <t>6. Conditional Formatting:  </t>
  </si>
  <si>
    <r>
      <t xml:space="preserve">● </t>
    </r>
    <r>
      <rPr>
        <sz val="12"/>
        <color rgb="FF000000"/>
        <rFont val="Calibri"/>
        <family val="2"/>
        <scheme val="minor"/>
      </rPr>
      <t xml:space="preserve">Apply data bar or color scales conditional formatting in the "Price" column.  </t>
    </r>
    <r>
      <rPr>
        <sz val="12"/>
        <color rgb="FF000000"/>
        <rFont val="Arial"/>
        <family val="2"/>
      </rPr>
      <t xml:space="preserve">● </t>
    </r>
    <r>
      <rPr>
        <sz val="12"/>
        <color rgb="FF000000"/>
        <rFont val="Calibri"/>
        <family val="2"/>
        <scheme val="minor"/>
      </rPr>
      <t>Create a custom rule for conditional formatting in the "Category" column to highlight cells where the category is "Electronics." </t>
    </r>
  </si>
  <si>
    <t>OBSERVATION</t>
  </si>
  <si>
    <r>
      <t xml:space="preserve">1.No missing values were found in the </t>
    </r>
    <r>
      <rPr>
        <b/>
        <sz val="11"/>
        <color theme="1"/>
        <rFont val="Calibri"/>
        <family val="2"/>
        <scheme val="minor"/>
      </rPr>
      <t>Price ($)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</si>
  <si>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2. No missing values were found in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column.</t>
    </r>
  </si>
  <si>
    <t>3. The dataset is complete with respect to these fields, so no data imputation or deletion was required.</t>
  </si>
  <si>
    <r>
      <t xml:space="preserve">4. If missing values had existed,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would be filled using the average/median, and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would be filled using the appropriate category or "Unknown".</t>
    </r>
  </si>
  <si>
    <t>Missing Values in Price Column</t>
  </si>
  <si>
    <t>Missing Values in Category Column</t>
  </si>
  <si>
    <t>3.Remove Dulpicates</t>
  </si>
  <si>
    <t>1.The dataset was checked for duplicate records based on all columns (Product ID, Product Name, Brand Name, Price, Quantity, and Category).</t>
  </si>
  <si>
    <r>
      <t>2. 2 duplicate rows</t>
    </r>
    <r>
      <rPr>
        <sz val="11"/>
        <color theme="1"/>
        <rFont val="Calibri"/>
        <family val="2"/>
        <scheme val="minor"/>
      </rPr>
      <t xml:space="preserve"> were identified in the dataset.</t>
    </r>
  </si>
  <si>
    <t>1.Missing Values</t>
  </si>
  <si>
    <t>Product Brand</t>
  </si>
  <si>
    <t>Manufacturing Date</t>
  </si>
  <si>
    <t>Country Code</t>
  </si>
  <si>
    <r>
      <rPr>
        <b/>
        <sz val="14"/>
        <color theme="1"/>
        <rFont val="Calibri"/>
        <family val="2"/>
        <scheme val="minor"/>
      </rPr>
      <t>4. Splitting and Merging Data: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</si>
  <si>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1.The </t>
    </r>
    <r>
      <rPr>
        <b/>
        <sz val="11"/>
        <color theme="1"/>
        <rFont val="Calibri"/>
        <family val="2"/>
        <scheme val="minor"/>
      </rPr>
      <t>Product ID</t>
    </r>
    <r>
      <rPr>
        <sz val="11"/>
        <color theme="1"/>
        <rFont val="Calibri"/>
        <family val="2"/>
        <scheme val="minor"/>
      </rPr>
      <t xml:space="preserve"> column was successfully split into two separate columns: </t>
    </r>
    <r>
      <rPr>
        <b/>
        <sz val="11"/>
        <color theme="1"/>
        <rFont val="Calibri"/>
        <family val="2"/>
        <scheme val="minor"/>
      </rPr>
      <t>Manufacturing Date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Country Code</t>
    </r>
    <r>
      <rPr>
        <sz val="11"/>
        <color theme="1"/>
        <rFont val="Calibri"/>
        <family val="2"/>
        <scheme val="minor"/>
      </rPr>
      <t>.</t>
    </r>
  </si>
  <si>
    <r>
      <t>2.The unnecessary country code characters were removed from the Manufacturing Date field using</t>
    </r>
    <r>
      <rPr>
        <b/>
        <sz val="11"/>
        <color theme="1"/>
        <rFont val="Calibri"/>
        <family val="2"/>
        <scheme val="minor"/>
      </rPr>
      <t xml:space="preserve"> LEFT()</t>
    </r>
    <r>
      <rPr>
        <sz val="11"/>
        <color theme="1"/>
        <rFont val="Calibri"/>
        <family val="2"/>
        <scheme val="minor"/>
      </rPr>
      <t xml:space="preserve"> function.</t>
    </r>
  </si>
  <si>
    <r>
      <t xml:space="preserve">3.The </t>
    </r>
    <r>
      <rPr>
        <b/>
        <sz val="11"/>
        <color theme="1"/>
        <rFont val="Calibri"/>
        <family val="2"/>
        <scheme val="minor"/>
      </rPr>
      <t>Country Code</t>
    </r>
    <r>
      <rPr>
        <sz val="11"/>
        <color theme="1"/>
        <rFont val="Calibri"/>
        <family val="2"/>
        <scheme val="minor"/>
      </rPr>
      <t xml:space="preserve"> was extracted correctly for each product using </t>
    </r>
    <r>
      <rPr>
        <b/>
        <sz val="11"/>
        <color theme="1"/>
        <rFont val="Calibri"/>
        <family val="2"/>
        <scheme val="minor"/>
      </rPr>
      <t>RIGHT()</t>
    </r>
    <r>
      <rPr>
        <sz val="11"/>
        <color theme="1"/>
        <rFont val="Calibri"/>
        <family val="2"/>
        <scheme val="minor"/>
      </rPr>
      <t xml:space="preserve"> function.</t>
    </r>
  </si>
  <si>
    <r>
      <t xml:space="preserve">4.The </t>
    </r>
    <r>
      <rPr>
        <b/>
        <sz val="11"/>
        <color theme="1"/>
        <rFont val="Calibri"/>
        <family val="2"/>
        <scheme val="minor"/>
      </rPr>
      <t>Brand 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Product Name</t>
    </r>
    <r>
      <rPr>
        <sz val="11"/>
        <color theme="1"/>
        <rFont val="Calibri"/>
        <family val="2"/>
        <scheme val="minor"/>
      </rPr>
      <t xml:space="preserve"> columns were merged into a single </t>
    </r>
    <r>
      <rPr>
        <b/>
        <sz val="11"/>
        <color theme="1"/>
        <rFont val="Calibri"/>
        <family val="2"/>
        <scheme val="minor"/>
      </rPr>
      <t>Product Brand</t>
    </r>
    <r>
      <rPr>
        <sz val="11"/>
        <color theme="1"/>
        <rFont val="Calibri"/>
        <family val="2"/>
        <scheme val="minor"/>
      </rPr>
      <t xml:space="preserve"> column using </t>
    </r>
    <r>
      <rPr>
        <b/>
        <sz val="11"/>
        <color theme="1"/>
        <rFont val="Calibri"/>
        <family val="2"/>
        <scheme val="minor"/>
      </rPr>
      <t>CONCAT()</t>
    </r>
    <r>
      <rPr>
        <sz val="11"/>
        <color theme="1"/>
        <rFont val="Calibri"/>
        <family val="2"/>
        <scheme val="minor"/>
      </rPr>
      <t xml:space="preserve"> function.</t>
    </r>
  </si>
  <si>
    <t>5.The dataset is now more organized, readable, and suitable for further analysis.</t>
  </si>
  <si>
    <r>
      <t xml:space="preserve">3.The duplicate rows were removed using </t>
    </r>
    <r>
      <rPr>
        <b/>
        <sz val="11"/>
        <color theme="1"/>
        <rFont val="Calibri"/>
        <family val="2"/>
        <scheme val="minor"/>
      </rPr>
      <t>Data → Remove Duplicates</t>
    </r>
    <r>
      <rPr>
        <sz val="11"/>
        <color theme="1"/>
        <rFont val="Calibri"/>
        <family val="2"/>
        <scheme val="minor"/>
      </rPr>
      <t xml:space="preserve"> in Excel.</t>
    </r>
  </si>
  <si>
    <t>4.After removing the duplicates, only unique records remain in the dataset.</t>
  </si>
  <si>
    <t>5.The dataset is now clean.</t>
  </si>
  <si>
    <t xml:space="preserve">5. Number Formatting: </t>
  </si>
  <si>
    <r>
      <t xml:space="preserve">1.The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column was formatted as </t>
    </r>
    <r>
      <rPr>
        <b/>
        <sz val="11"/>
        <color theme="1"/>
        <rFont val="Calibri"/>
        <family val="2"/>
        <scheme val="minor"/>
      </rPr>
      <t>Currency</t>
    </r>
    <r>
      <rPr>
        <sz val="11"/>
        <color theme="1"/>
        <rFont val="Calibri"/>
        <family val="2"/>
        <scheme val="minor"/>
      </rPr>
      <t xml:space="preserve"> for consistent display of monetary values.</t>
    </r>
  </si>
  <si>
    <t>3.These formatting changes improved the readability and presentation of the dataset.</t>
  </si>
  <si>
    <r>
      <t xml:space="preserve">2.The </t>
    </r>
    <r>
      <rPr>
        <b/>
        <sz val="11"/>
        <color theme="1"/>
        <rFont val="Calibri"/>
        <family val="2"/>
        <scheme val="minor"/>
      </rPr>
      <t>Manufacturing Date</t>
    </r>
    <r>
      <rPr>
        <sz val="11"/>
        <color theme="1"/>
        <rFont val="Calibri"/>
        <family val="2"/>
        <scheme val="minor"/>
      </rPr>
      <t xml:space="preserve"> column was formatted as </t>
    </r>
    <r>
      <rPr>
        <b/>
        <sz val="11"/>
        <color theme="1"/>
        <rFont val="Calibri"/>
        <family val="2"/>
        <scheme val="minor"/>
      </rPr>
      <t>DD-MM-YYYY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DATEVALUE()</t>
    </r>
    <r>
      <rPr>
        <sz val="11"/>
        <color theme="1"/>
        <rFont val="Calibri"/>
        <family val="2"/>
        <scheme val="minor"/>
      </rPr>
      <t xml:space="preserve"> function.</t>
    </r>
  </si>
  <si>
    <t xml:space="preserve">6. Conditional Formatting:  </t>
  </si>
  <si>
    <r>
      <t xml:space="preserve">1.Data Bars and Color Scales were applied to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</si>
  <si>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2.The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category was highlighted in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column using conditional formatting.</t>
    </r>
  </si>
  <si>
    <t>3. The formatting makes the dataset easier to analyze and interpret.</t>
  </si>
  <si>
    <t>Duplicates</t>
  </si>
  <si>
    <t>Missing Values</t>
  </si>
  <si>
    <t>1.All product names use a consistent text format with proper capitalization.</t>
  </si>
  <si>
    <t>2.No spelling mistakes were found in the Category column.</t>
  </si>
  <si>
    <t>3.The dataset is already standardized, so no corrections were needed.</t>
  </si>
  <si>
    <t>2. Correcting Inconsistent Data:</t>
  </si>
  <si>
    <r>
      <t xml:space="preserve">● </t>
    </r>
    <r>
      <rPr>
        <sz val="12"/>
        <color rgb="FF000000"/>
        <rFont val="Calibri"/>
        <family val="2"/>
        <scheme val="minor"/>
      </rPr>
      <t xml:space="preserve">Use the find and replace function to standardize the text formats in the "Product Name" column and fix any typos or misspellings in the "Category" column.  </t>
    </r>
  </si>
  <si>
    <t>3. Removing Duplicates: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</si>
</sst>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7"/>
      <color rgb="FF000000"/>
      <name val="Calibri"/>
      <family val="2"/>
      <scheme val="minor"/>
    </font>
    <font>
      <b/>
      <sz val="13.95"/>
      <color rgb="FF000000"/>
      <name val="Calibri"/>
      <family val="2"/>
      <scheme val="minor"/>
    </font>
    <font>
      <b/>
      <u/>
      <sz val="13.95"/>
      <color rgb="FF1155CC"/>
      <name val="Calibri"/>
      <family val="2"/>
      <scheme val="minor"/>
    </font>
    <font>
      <b/>
      <sz val="13.95"/>
      <color rgb="FF1155CC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Arial Black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0F7FA"/>
      </patternFill>
    </fill>
    <fill>
      <patternFill patternType="solid">
        <fgColor theme="7" tint="0.59999389629810485"/>
        <bgColor rgb="FF4DD0E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3" fillId="3" borderId="0" xfId="1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7"/>
    </xf>
    <xf numFmtId="0" fontId="11" fillId="0" borderId="0" xfId="0" applyFont="1" applyAlignment="1">
      <alignment horizontal="left" vertical="center" indent="15"/>
    </xf>
    <xf numFmtId="0" fontId="10" fillId="0" borderId="0" xfId="0" applyFont="1" applyAlignment="1">
      <alignment horizontal="left" vertical="center" indent="2"/>
    </xf>
    <xf numFmtId="0" fontId="13" fillId="0" borderId="0" xfId="0" applyFont="1"/>
    <xf numFmtId="0" fontId="3" fillId="0" borderId="1" xfId="1" applyFont="1" applyBorder="1"/>
    <xf numFmtId="0" fontId="3" fillId="3" borderId="1" xfId="1" applyFont="1" applyFill="1" applyBorder="1"/>
    <xf numFmtId="0" fontId="2" fillId="2" borderId="1" xfId="1" applyFont="1" applyFill="1" applyBorder="1" applyAlignment="1">
      <alignment horizontal="center"/>
    </xf>
    <xf numFmtId="0" fontId="3" fillId="4" borderId="1" xfId="1" applyFont="1" applyFill="1" applyBorder="1"/>
    <xf numFmtId="0" fontId="3" fillId="5" borderId="1" xfId="1" applyFont="1" applyFill="1" applyBorder="1"/>
    <xf numFmtId="0" fontId="15" fillId="4" borderId="1" xfId="1" applyFont="1" applyFill="1" applyBorder="1"/>
    <xf numFmtId="0" fontId="14" fillId="2" borderId="1" xfId="1" applyFont="1" applyFill="1" applyBorder="1" applyAlignment="1">
      <alignment horizontal="center"/>
    </xf>
    <xf numFmtId="0" fontId="15" fillId="5" borderId="1" xfId="1" applyFont="1" applyFill="1" applyBorder="1"/>
    <xf numFmtId="0" fontId="12" fillId="0" borderId="0" xfId="0" applyFont="1"/>
    <xf numFmtId="0" fontId="16" fillId="0" borderId="0" xfId="0" applyFont="1"/>
    <xf numFmtId="0" fontId="2" fillId="6" borderId="1" xfId="1" applyFont="1" applyFill="1" applyBorder="1" applyAlignment="1">
      <alignment horizontal="center"/>
    </xf>
    <xf numFmtId="0" fontId="3" fillId="7" borderId="1" xfId="1" applyFont="1" applyFill="1" applyBorder="1"/>
    <xf numFmtId="0" fontId="3" fillId="8" borderId="1" xfId="1" applyFont="1" applyFill="1" applyBorder="1"/>
    <xf numFmtId="0" fontId="0" fillId="7" borderId="1" xfId="0" applyFill="1" applyBorder="1"/>
    <xf numFmtId="164" fontId="3" fillId="0" borderId="1" xfId="1" applyNumberFormat="1" applyFont="1" applyBorder="1"/>
    <xf numFmtId="14" fontId="3" fillId="7" borderId="1" xfId="1" applyNumberFormat="1" applyFont="1" applyFill="1" applyBorder="1"/>
    <xf numFmtId="14" fontId="3" fillId="8" borderId="1" xfId="1" applyNumberFormat="1" applyFont="1" applyFill="1" applyBorder="1"/>
    <xf numFmtId="14" fontId="0" fillId="0" borderId="0" xfId="0" applyNumberFormat="1"/>
    <xf numFmtId="14" fontId="14" fillId="6" borderId="1" xfId="1" applyNumberFormat="1" applyFont="1" applyFill="1" applyBorder="1" applyAlignment="1">
      <alignment horizontal="center"/>
    </xf>
    <xf numFmtId="0" fontId="19" fillId="0" borderId="0" xfId="0" applyFont="1"/>
    <xf numFmtId="164" fontId="0" fillId="0" borderId="0" xfId="0" applyNumberFormat="1"/>
    <xf numFmtId="164" fontId="14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8" fillId="0" borderId="0" xfId="0" applyFont="1"/>
    <xf numFmtId="0" fontId="0" fillId="0" borderId="0" xfId="0" applyAlignment="1">
      <alignment horizontal="left" vertical="center" indent="1"/>
    </xf>
    <xf numFmtId="0" fontId="15" fillId="0" borderId="0" xfId="1" applyFont="1" applyFill="1"/>
    <xf numFmtId="0" fontId="20" fillId="0" borderId="0" xfId="0" applyFont="1" applyAlignment="1">
      <alignment horizontal="left" vertical="center" indent="2"/>
    </xf>
  </cellXfs>
  <cellStyles count="2">
    <cellStyle name="Normal" xfId="0" builtinId="0"/>
    <cellStyle name="Normal 2" xfId="1" xr:uid="{F2A81E99-33D1-4B1B-B1C6-6764B1292FBA}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9060D-6620-4E3A-8EDA-A7A84B06C9A4}" name="Table1" displayName="Table1" ref="A1:F35" totalsRowShown="0" headerRowDxfId="20" dataDxfId="19" headerRowCellStyle="Normal 2" dataCellStyle="Normal 2">
  <autoFilter ref="A1:F35" xr:uid="{D839060D-6620-4E3A-8EDA-A7A84B06C9A4}"/>
  <tableColumns count="6">
    <tableColumn id="1" xr3:uid="{29816153-37D3-44DA-8DE1-CA95C17059D1}" name="Product ID" dataDxfId="18" dataCellStyle="Normal 2"/>
    <tableColumn id="2" xr3:uid="{4FD05DC9-00D9-49E1-9104-F73A905EAF7E}" name="Product Name" dataDxfId="17" dataCellStyle="Normal 2"/>
    <tableColumn id="3" xr3:uid="{2A566955-EA88-4551-9F55-A75CE21A25E0}" name="Brand Name" dataDxfId="16" dataCellStyle="Normal 2"/>
    <tableColumn id="4" xr3:uid="{674C719E-AC6C-4C9B-B360-870282495094}" name="Price ($)" dataDxfId="15" dataCellStyle="Normal 2"/>
    <tableColumn id="5" xr3:uid="{1BDEB049-DD65-4080-85B6-62B42FD772AA}" name="Quantity" dataDxfId="14" dataCellStyle="Normal 2"/>
    <tableColumn id="6" xr3:uid="{9C8D4127-211F-4C24-AF1E-ADA4B6935207}" name="Category" dataDxfId="13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FD03C5-6FC2-4FB7-A70C-664A77E19FE8}" name="Table13" displayName="Table13" ref="A1:I33" totalsRowShown="0" headerRowDxfId="12" dataDxfId="11" headerRowCellStyle="Normal 2" dataCellStyle="Normal 2">
  <autoFilter ref="A1:I33" xr:uid="{05FD03C5-6FC2-4FB7-A70C-664A77E19FE8}"/>
  <tableColumns count="9">
    <tableColumn id="1" xr3:uid="{BB5A3CB9-89E8-42B8-87DF-B39A8DAEEF28}" name="Product ID" dataDxfId="10" dataCellStyle="Normal 2"/>
    <tableColumn id="10" xr3:uid="{621FBD8D-ABFD-4C24-B42F-B95F4EFD4DF7}" name="Manufacturing Date" dataDxfId="5" dataCellStyle="Normal 2">
      <calculatedColumnFormula>DATEVALUE(LEFT(A2,6)&amp;"-2026")</calculatedColumnFormula>
    </tableColumn>
    <tableColumn id="9" xr3:uid="{7EC51361-735D-41F5-89C5-6526054A2114}" name="Country Code" dataDxfId="9" dataCellStyle="Normal 2">
      <calculatedColumnFormula>RIGHT(A2,2)</calculatedColumnFormula>
    </tableColumn>
    <tableColumn id="2" xr3:uid="{1A631391-3DE8-41D2-8BBB-844D5326970A}" name="Product Name" dataDxfId="8" dataCellStyle="Normal 2"/>
    <tableColumn id="3" xr3:uid="{DF054405-4FBD-4117-8F79-0E6F2A85DFC0}" name="Brand Name" dataDxfId="7" dataCellStyle="Normal 2"/>
    <tableColumn id="7" xr3:uid="{91B56BCC-F28E-4CEE-82DE-F6FA608B194B}" name="Product Brand" dataDxfId="4" dataCellStyle="Normal 2">
      <calculatedColumnFormula>_xlfn.CONCAT(E2," ",D2)</calculatedColumnFormula>
    </tableColumn>
    <tableColumn id="4" xr3:uid="{03C845AD-5D0D-4209-8828-3F58812B8DB3}" name="Price ($)" dataDxfId="2" dataCellStyle="Normal 2"/>
    <tableColumn id="5" xr3:uid="{7B80D24D-3212-498B-B88A-51AC02FB084E}" name="Quantity" dataDxfId="3" dataCellStyle="Normal 2"/>
    <tableColumn id="6" xr3:uid="{B1B66C05-8607-4242-AC30-9E8007DFFF1C}" name="Category" dataDxfId="6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22A7-2A6B-480C-A7BD-FEE899D7D5E5}">
  <dimension ref="A1:A21"/>
  <sheetViews>
    <sheetView workbookViewId="0">
      <selection activeCell="A11" sqref="A11"/>
    </sheetView>
  </sheetViews>
  <sheetFormatPr defaultRowHeight="14.4" x14ac:dyDescent="0.3"/>
  <sheetData>
    <row r="1" spans="1:1" ht="22.2" x14ac:dyDescent="0.3">
      <c r="A1" s="4" t="s">
        <v>93</v>
      </c>
    </row>
    <row r="2" spans="1:1" ht="18" x14ac:dyDescent="0.3">
      <c r="A2" s="5" t="s">
        <v>94</v>
      </c>
    </row>
    <row r="3" spans="1:1" ht="15.6" x14ac:dyDescent="0.3">
      <c r="A3" s="6" t="s">
        <v>95</v>
      </c>
    </row>
    <row r="4" spans="1:1" ht="22.2" x14ac:dyDescent="0.3">
      <c r="A4" s="4" t="s">
        <v>96</v>
      </c>
    </row>
    <row r="5" spans="1:1" ht="15.6" x14ac:dyDescent="0.3">
      <c r="A5" s="7" t="s">
        <v>97</v>
      </c>
    </row>
    <row r="6" spans="1:1" ht="15.6" x14ac:dyDescent="0.3">
      <c r="A6" s="8" t="s">
        <v>98</v>
      </c>
    </row>
    <row r="7" spans="1:1" ht="15.6" x14ac:dyDescent="0.3">
      <c r="A7" s="8" t="s">
        <v>99</v>
      </c>
    </row>
    <row r="8" spans="1:1" ht="15.6" x14ac:dyDescent="0.3">
      <c r="A8" s="9"/>
    </row>
    <row r="9" spans="1:1" ht="15.6" x14ac:dyDescent="0.3">
      <c r="A9" s="7" t="s">
        <v>100</v>
      </c>
    </row>
    <row r="10" spans="1:1" ht="15.6" x14ac:dyDescent="0.3">
      <c r="A10" s="8" t="s">
        <v>101</v>
      </c>
    </row>
    <row r="11" spans="1:1" ht="15.6" x14ac:dyDescent="0.3">
      <c r="A11" s="10" t="s">
        <v>148</v>
      </c>
    </row>
    <row r="12" spans="1:1" x14ac:dyDescent="0.3">
      <c r="A12" s="38" t="s">
        <v>149</v>
      </c>
    </row>
    <row r="13" spans="1:1" ht="15.6" x14ac:dyDescent="0.3">
      <c r="A13" s="8" t="s">
        <v>102</v>
      </c>
    </row>
    <row r="14" spans="1:1" ht="15.6" x14ac:dyDescent="0.3">
      <c r="A14" s="7" t="s">
        <v>103</v>
      </c>
    </row>
    <row r="15" spans="1:1" ht="15.6" x14ac:dyDescent="0.3">
      <c r="A15" s="8" t="s">
        <v>104</v>
      </c>
    </row>
    <row r="16" spans="1:1" ht="15.6" x14ac:dyDescent="0.3">
      <c r="A16" s="8" t="s">
        <v>105</v>
      </c>
    </row>
    <row r="17" spans="1:1" ht="15.6" x14ac:dyDescent="0.3">
      <c r="A17" s="7" t="s">
        <v>106</v>
      </c>
    </row>
    <row r="18" spans="1:1" ht="15.6" x14ac:dyDescent="0.3">
      <c r="A18" s="8" t="s">
        <v>107</v>
      </c>
    </row>
    <row r="19" spans="1:1" ht="15.6" x14ac:dyDescent="0.3">
      <c r="A19" s="8" t="s">
        <v>108</v>
      </c>
    </row>
    <row r="20" spans="1:1" ht="15.6" x14ac:dyDescent="0.3">
      <c r="A20" s="7" t="s">
        <v>109</v>
      </c>
    </row>
    <row r="21" spans="1:1" ht="15.6" x14ac:dyDescent="0.3">
      <c r="A21" s="8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205B-4DB6-4C8D-B871-7B356B1FEB7C}">
  <dimension ref="A1:F35"/>
  <sheetViews>
    <sheetView workbookViewId="0">
      <selection activeCell="H1" sqref="H1"/>
    </sheetView>
  </sheetViews>
  <sheetFormatPr defaultRowHeight="14.4" x14ac:dyDescent="0.3"/>
  <cols>
    <col min="1" max="1" width="17.6640625" customWidth="1"/>
    <col min="2" max="2" width="18.109375" customWidth="1"/>
    <col min="3" max="3" width="15" customWidth="1"/>
    <col min="4" max="4" width="12.44140625" customWidth="1"/>
    <col min="5" max="5" width="13.33203125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 x14ac:dyDescent="0.3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 x14ac:dyDescent="0.3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 x14ac:dyDescent="0.3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 x14ac:dyDescent="0.3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6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6" x14ac:dyDescent="0.3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 x14ac:dyDescent="0.3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6" x14ac:dyDescent="0.3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 x14ac:dyDescent="0.3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 x14ac:dyDescent="0.3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 x14ac:dyDescent="0.3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 x14ac:dyDescent="0.3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 x14ac:dyDescent="0.3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 x14ac:dyDescent="0.3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 x14ac:dyDescent="0.3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 x14ac:dyDescent="0.3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 x14ac:dyDescent="0.3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 x14ac:dyDescent="0.3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 x14ac:dyDescent="0.3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 x14ac:dyDescent="0.3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 x14ac:dyDescent="0.3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 x14ac:dyDescent="0.3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 x14ac:dyDescent="0.3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3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 x14ac:dyDescent="0.3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x14ac:dyDescent="0.3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F070-D796-4870-83DE-09DF88E2824D}">
  <dimension ref="A1:N35"/>
  <sheetViews>
    <sheetView tabSelected="1" workbookViewId="0">
      <selection activeCell="K3" sqref="K3"/>
    </sheetView>
  </sheetViews>
  <sheetFormatPr defaultRowHeight="14.4" x14ac:dyDescent="0.3"/>
  <cols>
    <col min="1" max="1" width="12.5546875" customWidth="1"/>
    <col min="2" max="2" width="15.33203125" customWidth="1"/>
    <col min="3" max="3" width="15" customWidth="1"/>
    <col min="4" max="4" width="13.33203125" customWidth="1"/>
    <col min="5" max="5" width="10.5546875" customWidth="1"/>
    <col min="6" max="6" width="16.6640625" customWidth="1"/>
    <col min="9" max="9" width="11.44140625" customWidth="1"/>
    <col min="10" max="10" width="20.21875" customWidth="1"/>
    <col min="11" max="11" width="15.5546875" customWidth="1"/>
    <col min="14" max="14" width="13.6640625" customWidth="1"/>
  </cols>
  <sheetData>
    <row r="1" spans="1:14" ht="15.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I1" s="35" t="s">
        <v>143</v>
      </c>
    </row>
    <row r="2" spans="1:14" x14ac:dyDescent="0.3">
      <c r="A2" s="12" t="s">
        <v>6</v>
      </c>
      <c r="B2" s="12" t="s">
        <v>7</v>
      </c>
      <c r="C2" s="12" t="s">
        <v>8</v>
      </c>
      <c r="D2" s="12">
        <v>1000</v>
      </c>
      <c r="E2" s="12">
        <v>30</v>
      </c>
      <c r="F2" s="12" t="s">
        <v>9</v>
      </c>
      <c r="I2" s="25" t="s">
        <v>116</v>
      </c>
      <c r="J2" s="25"/>
      <c r="K2" s="25" t="str">
        <f>IF(ISBLANK(D2),AVERAGE($D$2:$D$35),"No Missing Values")</f>
        <v>No Missing Values</v>
      </c>
    </row>
    <row r="3" spans="1:14" x14ac:dyDescent="0.3">
      <c r="A3" s="13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3" t="s">
        <v>13</v>
      </c>
      <c r="I3" s="25" t="s">
        <v>117</v>
      </c>
      <c r="J3" s="25"/>
      <c r="K3" s="25" t="str">
        <f>IF(ISBLANK(F2),"Unknown ","No Missing Values")</f>
        <v>No Missing Values</v>
      </c>
    </row>
    <row r="4" spans="1:14" x14ac:dyDescent="0.3">
      <c r="A4" s="12" t="s">
        <v>14</v>
      </c>
      <c r="B4" s="12" t="s">
        <v>15</v>
      </c>
      <c r="C4" s="12" t="s">
        <v>16</v>
      </c>
      <c r="D4" s="12">
        <v>130</v>
      </c>
      <c r="E4" s="12">
        <v>40</v>
      </c>
      <c r="F4" s="12" t="s">
        <v>17</v>
      </c>
    </row>
    <row r="5" spans="1:14" ht="15.6" x14ac:dyDescent="0.3">
      <c r="A5" s="13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3" t="s">
        <v>9</v>
      </c>
      <c r="I5" s="35" t="s">
        <v>142</v>
      </c>
    </row>
    <row r="6" spans="1:14" x14ac:dyDescent="0.3">
      <c r="A6" s="12" t="s">
        <v>21</v>
      </c>
      <c r="B6" s="12" t="s">
        <v>22</v>
      </c>
      <c r="C6" s="12" t="s">
        <v>23</v>
      </c>
      <c r="D6" s="12">
        <v>70</v>
      </c>
      <c r="E6" s="12">
        <v>20</v>
      </c>
      <c r="F6" s="12" t="s">
        <v>24</v>
      </c>
    </row>
    <row r="7" spans="1:14" x14ac:dyDescent="0.3">
      <c r="A7" s="13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3" t="s">
        <v>9</v>
      </c>
      <c r="I7" s="18" t="s">
        <v>0</v>
      </c>
      <c r="J7" s="18" t="s">
        <v>1</v>
      </c>
      <c r="K7" s="18" t="s">
        <v>2</v>
      </c>
      <c r="L7" s="18" t="s">
        <v>3</v>
      </c>
      <c r="M7" s="18" t="s">
        <v>4</v>
      </c>
      <c r="N7" s="18" t="s">
        <v>5</v>
      </c>
    </row>
    <row r="8" spans="1:14" x14ac:dyDescent="0.3">
      <c r="A8" s="12" t="s">
        <v>28</v>
      </c>
      <c r="B8" s="12" t="s">
        <v>29</v>
      </c>
      <c r="C8" s="12" t="s">
        <v>30</v>
      </c>
      <c r="D8" s="12">
        <v>30</v>
      </c>
      <c r="E8" s="12">
        <v>5</v>
      </c>
      <c r="F8" s="12" t="s">
        <v>13</v>
      </c>
      <c r="I8" s="17" t="s">
        <v>40</v>
      </c>
      <c r="J8" s="17" t="s">
        <v>7</v>
      </c>
      <c r="K8" s="17" t="s">
        <v>41</v>
      </c>
      <c r="L8" s="17">
        <v>950</v>
      </c>
      <c r="M8" s="17">
        <v>25</v>
      </c>
      <c r="N8" s="17" t="s">
        <v>9</v>
      </c>
    </row>
    <row r="9" spans="1:14" x14ac:dyDescent="0.3">
      <c r="A9" s="13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3" t="s">
        <v>17</v>
      </c>
      <c r="I9" s="17" t="s">
        <v>40</v>
      </c>
      <c r="J9" s="17" t="s">
        <v>7</v>
      </c>
      <c r="K9" s="17" t="s">
        <v>41</v>
      </c>
      <c r="L9" s="17">
        <v>950</v>
      </c>
      <c r="M9" s="17">
        <v>25</v>
      </c>
      <c r="N9" s="17" t="s">
        <v>9</v>
      </c>
    </row>
    <row r="10" spans="1:14" x14ac:dyDescent="0.3">
      <c r="A10" s="12" t="s">
        <v>34</v>
      </c>
      <c r="B10" s="12" t="s">
        <v>35</v>
      </c>
      <c r="C10" s="12" t="s">
        <v>36</v>
      </c>
      <c r="D10" s="12">
        <v>500</v>
      </c>
      <c r="E10" s="12">
        <v>50</v>
      </c>
      <c r="F10" s="12" t="s">
        <v>9</v>
      </c>
      <c r="I10" s="17" t="s">
        <v>50</v>
      </c>
      <c r="J10" s="19" t="s">
        <v>51</v>
      </c>
      <c r="K10" s="19" t="s">
        <v>52</v>
      </c>
      <c r="L10" s="19">
        <v>50</v>
      </c>
      <c r="M10" s="19">
        <v>35</v>
      </c>
      <c r="N10" s="19" t="s">
        <v>53</v>
      </c>
    </row>
    <row r="11" spans="1:14" x14ac:dyDescent="0.3">
      <c r="A11" s="13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3" t="s">
        <v>24</v>
      </c>
      <c r="I11" s="19" t="s">
        <v>50</v>
      </c>
      <c r="J11" s="19" t="s">
        <v>51</v>
      </c>
      <c r="K11" s="19" t="s">
        <v>52</v>
      </c>
      <c r="L11" s="19">
        <v>50</v>
      </c>
      <c r="M11" s="19">
        <v>35</v>
      </c>
      <c r="N11" s="19" t="s">
        <v>53</v>
      </c>
    </row>
    <row r="12" spans="1:14" x14ac:dyDescent="0.3">
      <c r="A12" s="15" t="s">
        <v>40</v>
      </c>
      <c r="B12" s="15" t="s">
        <v>7</v>
      </c>
      <c r="C12" s="15" t="s">
        <v>41</v>
      </c>
      <c r="D12" s="15">
        <v>950</v>
      </c>
      <c r="E12" s="15">
        <v>25</v>
      </c>
      <c r="F12" s="15" t="s">
        <v>9</v>
      </c>
    </row>
    <row r="13" spans="1:14" x14ac:dyDescent="0.3">
      <c r="A13" s="13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3" t="s">
        <v>13</v>
      </c>
    </row>
    <row r="14" spans="1:14" x14ac:dyDescent="0.3">
      <c r="A14" s="12" t="s">
        <v>43</v>
      </c>
      <c r="B14" s="12" t="s">
        <v>15</v>
      </c>
      <c r="C14" s="12" t="s">
        <v>44</v>
      </c>
      <c r="D14" s="12">
        <v>120</v>
      </c>
      <c r="E14" s="12">
        <v>35</v>
      </c>
      <c r="F14" s="12" t="s">
        <v>17</v>
      </c>
    </row>
    <row r="15" spans="1:14" x14ac:dyDescent="0.3">
      <c r="A15" s="13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3" t="s">
        <v>9</v>
      </c>
    </row>
    <row r="16" spans="1:14" x14ac:dyDescent="0.3">
      <c r="A16" s="12" t="s">
        <v>48</v>
      </c>
      <c r="B16" s="12" t="s">
        <v>26</v>
      </c>
      <c r="C16" s="12" t="s">
        <v>49</v>
      </c>
      <c r="D16" s="12">
        <v>250</v>
      </c>
      <c r="E16" s="12">
        <v>20</v>
      </c>
      <c r="F16" s="12" t="s">
        <v>9</v>
      </c>
    </row>
    <row r="17" spans="1:6" x14ac:dyDescent="0.3">
      <c r="A17" s="15" t="s">
        <v>50</v>
      </c>
      <c r="B17" s="16" t="s">
        <v>51</v>
      </c>
      <c r="C17" s="16" t="s">
        <v>52</v>
      </c>
      <c r="D17" s="16">
        <v>50</v>
      </c>
      <c r="E17" s="16">
        <v>35</v>
      </c>
      <c r="F17" s="16" t="s">
        <v>53</v>
      </c>
    </row>
    <row r="18" spans="1:6" x14ac:dyDescent="0.3">
      <c r="A18" s="12" t="s">
        <v>54</v>
      </c>
      <c r="B18" s="12" t="s">
        <v>46</v>
      </c>
      <c r="C18" s="12" t="s">
        <v>55</v>
      </c>
      <c r="D18" s="12">
        <v>160</v>
      </c>
      <c r="E18" s="12">
        <v>15</v>
      </c>
      <c r="F18" s="12" t="s">
        <v>9</v>
      </c>
    </row>
    <row r="19" spans="1:6" x14ac:dyDescent="0.3">
      <c r="A19" s="13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3" t="s">
        <v>9</v>
      </c>
    </row>
    <row r="20" spans="1:6" x14ac:dyDescent="0.3">
      <c r="A20" s="12" t="s">
        <v>58</v>
      </c>
      <c r="B20" s="12" t="s">
        <v>59</v>
      </c>
      <c r="C20" s="12" t="s">
        <v>60</v>
      </c>
      <c r="D20" s="12">
        <v>150</v>
      </c>
      <c r="E20" s="12">
        <v>15</v>
      </c>
      <c r="F20" s="12" t="s">
        <v>13</v>
      </c>
    </row>
    <row r="21" spans="1:6" x14ac:dyDescent="0.3">
      <c r="A21" s="13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3" t="s">
        <v>24</v>
      </c>
    </row>
    <row r="22" spans="1:6" x14ac:dyDescent="0.3">
      <c r="A22" s="12" t="s">
        <v>64</v>
      </c>
      <c r="B22" s="12" t="s">
        <v>65</v>
      </c>
      <c r="C22" s="12" t="s">
        <v>66</v>
      </c>
      <c r="D22" s="12">
        <v>700</v>
      </c>
      <c r="E22" s="12">
        <v>50</v>
      </c>
      <c r="F22" s="12" t="s">
        <v>9</v>
      </c>
    </row>
    <row r="23" spans="1:6" x14ac:dyDescent="0.3">
      <c r="A23" s="13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3" t="s">
        <v>17</v>
      </c>
    </row>
    <row r="24" spans="1:6" x14ac:dyDescent="0.3">
      <c r="A24" s="12" t="s">
        <v>70</v>
      </c>
      <c r="B24" s="12" t="s">
        <v>71</v>
      </c>
      <c r="C24" s="12" t="s">
        <v>72</v>
      </c>
      <c r="D24" s="12">
        <v>150</v>
      </c>
      <c r="E24" s="12">
        <v>30</v>
      </c>
      <c r="F24" s="12" t="s">
        <v>9</v>
      </c>
    </row>
    <row r="25" spans="1:6" x14ac:dyDescent="0.3">
      <c r="A25" s="16" t="s">
        <v>50</v>
      </c>
      <c r="B25" s="16" t="s">
        <v>51</v>
      </c>
      <c r="C25" s="16" t="s">
        <v>52</v>
      </c>
      <c r="D25" s="16">
        <v>50</v>
      </c>
      <c r="E25" s="16">
        <v>35</v>
      </c>
      <c r="F25" s="16" t="s">
        <v>53</v>
      </c>
    </row>
    <row r="26" spans="1:6" x14ac:dyDescent="0.3">
      <c r="A26" s="12" t="s">
        <v>73</v>
      </c>
      <c r="B26" s="12" t="s">
        <v>19</v>
      </c>
      <c r="C26" s="12" t="s">
        <v>74</v>
      </c>
      <c r="D26" s="12">
        <v>800</v>
      </c>
      <c r="E26" s="12">
        <v>45</v>
      </c>
      <c r="F26" s="12" t="s">
        <v>9</v>
      </c>
    </row>
    <row r="27" spans="1:6" x14ac:dyDescent="0.3">
      <c r="A27" s="13" t="s">
        <v>75</v>
      </c>
      <c r="B27" s="13" t="s">
        <v>59</v>
      </c>
      <c r="C27" s="13" t="s">
        <v>76</v>
      </c>
      <c r="D27" s="13">
        <v>130</v>
      </c>
      <c r="E27" s="13">
        <v>25</v>
      </c>
      <c r="F27" s="13" t="s">
        <v>13</v>
      </c>
    </row>
    <row r="28" spans="1:6" x14ac:dyDescent="0.3">
      <c r="A28" s="12" t="s">
        <v>77</v>
      </c>
      <c r="B28" s="12" t="s">
        <v>32</v>
      </c>
      <c r="C28" s="12" t="s">
        <v>78</v>
      </c>
      <c r="D28" s="12">
        <v>400</v>
      </c>
      <c r="E28" s="12">
        <v>40</v>
      </c>
      <c r="F28" s="12" t="s">
        <v>17</v>
      </c>
    </row>
    <row r="29" spans="1:6" x14ac:dyDescent="0.3">
      <c r="A29" s="13" t="s">
        <v>48</v>
      </c>
      <c r="B29" s="13" t="s">
        <v>26</v>
      </c>
      <c r="C29" s="13" t="s">
        <v>49</v>
      </c>
      <c r="D29" s="13">
        <v>230</v>
      </c>
      <c r="E29" s="13">
        <v>20</v>
      </c>
      <c r="F29" s="13" t="s">
        <v>9</v>
      </c>
    </row>
    <row r="30" spans="1:6" x14ac:dyDescent="0.3">
      <c r="A30" s="12" t="s">
        <v>79</v>
      </c>
      <c r="B30" s="12" t="s">
        <v>80</v>
      </c>
      <c r="C30" s="12" t="s">
        <v>81</v>
      </c>
      <c r="D30" s="12">
        <v>60</v>
      </c>
      <c r="E30" s="12">
        <v>30</v>
      </c>
      <c r="F30" s="12" t="s">
        <v>13</v>
      </c>
    </row>
    <row r="31" spans="1:6" x14ac:dyDescent="0.3">
      <c r="A31" s="13" t="s">
        <v>82</v>
      </c>
      <c r="B31" s="13" t="s">
        <v>83</v>
      </c>
      <c r="C31" s="13" t="s">
        <v>84</v>
      </c>
      <c r="D31" s="13">
        <v>40</v>
      </c>
      <c r="E31" s="13">
        <v>10</v>
      </c>
      <c r="F31" s="13" t="s">
        <v>17</v>
      </c>
    </row>
    <row r="32" spans="1:6" x14ac:dyDescent="0.3">
      <c r="A32" s="12" t="s">
        <v>85</v>
      </c>
      <c r="B32" s="12" t="s">
        <v>71</v>
      </c>
      <c r="C32" s="12" t="s">
        <v>86</v>
      </c>
      <c r="D32" s="12">
        <v>130</v>
      </c>
      <c r="E32" s="12">
        <v>5</v>
      </c>
      <c r="F32" s="12" t="s">
        <v>9</v>
      </c>
    </row>
    <row r="33" spans="1:6" x14ac:dyDescent="0.3">
      <c r="A33" s="13" t="s">
        <v>87</v>
      </c>
      <c r="B33" s="13" t="s">
        <v>88</v>
      </c>
      <c r="C33" s="13" t="s">
        <v>89</v>
      </c>
      <c r="D33" s="13">
        <v>50</v>
      </c>
      <c r="E33" s="13">
        <v>50</v>
      </c>
      <c r="F33" s="13" t="s">
        <v>13</v>
      </c>
    </row>
    <row r="34" spans="1:6" x14ac:dyDescent="0.3">
      <c r="A34" s="15" t="s">
        <v>40</v>
      </c>
      <c r="B34" s="15" t="s">
        <v>7</v>
      </c>
      <c r="C34" s="15" t="s">
        <v>41</v>
      </c>
      <c r="D34" s="15">
        <v>950</v>
      </c>
      <c r="E34" s="15">
        <v>25</v>
      </c>
      <c r="F34" s="15" t="s">
        <v>9</v>
      </c>
    </row>
    <row r="35" spans="1:6" x14ac:dyDescent="0.3">
      <c r="A35" s="13" t="s">
        <v>90</v>
      </c>
      <c r="B35" s="13" t="s">
        <v>91</v>
      </c>
      <c r="C35" s="13" t="s">
        <v>92</v>
      </c>
      <c r="D35" s="13">
        <v>100</v>
      </c>
      <c r="E35" s="13">
        <v>20</v>
      </c>
      <c r="F35" s="13" t="s">
        <v>53</v>
      </c>
    </row>
  </sheetData>
  <conditionalFormatting sqref="B1:F35">
    <cfRule type="duplicateValues" priority="11"/>
  </conditionalFormatting>
  <conditionalFormatting sqref="J1">
    <cfRule type="duplicateValues" dxfId="1" priority="8"/>
  </conditionalFormatting>
  <conditionalFormatting sqref="J7:N7">
    <cfRule type="duplicateValues" priority="4"/>
  </conditionalFormatting>
  <conditionalFormatting sqref="J8:N8">
    <cfRule type="duplicateValues" priority="5"/>
  </conditionalFormatting>
  <conditionalFormatting sqref="J9:N9">
    <cfRule type="duplicateValues" priority="1"/>
  </conditionalFormatting>
  <conditionalFormatting sqref="J10:N10">
    <cfRule type="duplicateValues" priority="3"/>
  </conditionalFormatting>
  <conditionalFormatting sqref="J11:N11">
    <cfRule type="duplicateValues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EBF3-0533-440B-A155-E360A292169F}">
  <dimension ref="A1:I33"/>
  <sheetViews>
    <sheetView workbookViewId="0">
      <selection activeCell="A15" sqref="A15"/>
    </sheetView>
  </sheetViews>
  <sheetFormatPr defaultRowHeight="14.4" x14ac:dyDescent="0.3"/>
  <cols>
    <col min="1" max="1" width="19.88671875" customWidth="1"/>
    <col min="2" max="2" width="19.88671875" style="29" customWidth="1"/>
    <col min="3" max="3" width="19.88671875" customWidth="1"/>
    <col min="4" max="4" width="20.5546875" customWidth="1"/>
    <col min="5" max="5" width="16" customWidth="1"/>
    <col min="6" max="6" width="22.44140625" customWidth="1"/>
    <col min="7" max="7" width="14.44140625" style="32" customWidth="1"/>
    <col min="8" max="8" width="15.5546875" customWidth="1"/>
    <col min="9" max="9" width="23.44140625" customWidth="1"/>
  </cols>
  <sheetData>
    <row r="1" spans="1:9" x14ac:dyDescent="0.3">
      <c r="A1" s="14" t="s">
        <v>0</v>
      </c>
      <c r="B1" s="30" t="s">
        <v>123</v>
      </c>
      <c r="C1" s="22" t="s">
        <v>124</v>
      </c>
      <c r="D1" s="14" t="s">
        <v>1</v>
      </c>
      <c r="E1" s="14" t="s">
        <v>2</v>
      </c>
      <c r="F1" s="22" t="s">
        <v>122</v>
      </c>
      <c r="G1" s="33" t="s">
        <v>3</v>
      </c>
      <c r="H1" s="14" t="s">
        <v>4</v>
      </c>
      <c r="I1" s="34" t="s">
        <v>5</v>
      </c>
    </row>
    <row r="2" spans="1:9" x14ac:dyDescent="0.3">
      <c r="A2" s="12" t="s">
        <v>6</v>
      </c>
      <c r="B2" s="27">
        <f>DATEVALUE(LEFT(A2,6)&amp;"-2026")</f>
        <v>46050</v>
      </c>
      <c r="C2" s="23" t="str">
        <f>RIGHT(A2,2)</f>
        <v>US</v>
      </c>
      <c r="D2" s="12" t="s">
        <v>7</v>
      </c>
      <c r="E2" s="12" t="s">
        <v>8</v>
      </c>
      <c r="F2" s="23" t="str">
        <f t="shared" ref="F2:F33" si="0">_xlfn.CONCAT(E2," ",D2)</f>
        <v>Dell Laptop</v>
      </c>
      <c r="G2" s="26">
        <v>1000</v>
      </c>
      <c r="H2" s="12">
        <v>30</v>
      </c>
      <c r="I2" s="12" t="s">
        <v>9</v>
      </c>
    </row>
    <row r="3" spans="1:9" x14ac:dyDescent="0.3">
      <c r="A3" s="13" t="s">
        <v>10</v>
      </c>
      <c r="B3" s="28">
        <f>DATEVALUE(LEFT(A3,6)&amp;"-2026")</f>
        <v>46068</v>
      </c>
      <c r="C3" s="24" t="str">
        <f>RIGHT(A3,2)</f>
        <v>US</v>
      </c>
      <c r="D3" s="13" t="s">
        <v>11</v>
      </c>
      <c r="E3" s="13" t="s">
        <v>12</v>
      </c>
      <c r="F3" s="23" t="str">
        <f t="shared" si="0"/>
        <v>Nike Sneakers</v>
      </c>
      <c r="G3" s="26">
        <v>80</v>
      </c>
      <c r="H3" s="13">
        <v>15</v>
      </c>
      <c r="I3" s="12" t="s">
        <v>13</v>
      </c>
    </row>
    <row r="4" spans="1:9" x14ac:dyDescent="0.3">
      <c r="A4" s="12" t="s">
        <v>14</v>
      </c>
      <c r="B4" s="27">
        <f>DATEVALUE(LEFT(A4,6)&amp;"-2026")</f>
        <v>46084</v>
      </c>
      <c r="C4" s="23" t="str">
        <f>RIGHT(A4,2)</f>
        <v>US</v>
      </c>
      <c r="D4" s="12" t="s">
        <v>15</v>
      </c>
      <c r="E4" s="12" t="s">
        <v>16</v>
      </c>
      <c r="F4" s="23" t="str">
        <f t="shared" si="0"/>
        <v>Keurig Coffee Maker</v>
      </c>
      <c r="G4" s="26">
        <v>130</v>
      </c>
      <c r="H4" s="12">
        <v>40</v>
      </c>
      <c r="I4" s="12" t="s">
        <v>17</v>
      </c>
    </row>
    <row r="5" spans="1:9" x14ac:dyDescent="0.3">
      <c r="A5" s="13" t="s">
        <v>18</v>
      </c>
      <c r="B5" s="28">
        <f>DATEVALUE(LEFT(A5,6)&amp;"-2026")</f>
        <v>46123</v>
      </c>
      <c r="C5" s="24" t="str">
        <f>RIGHT(A5,2)</f>
        <v>US</v>
      </c>
      <c r="D5" s="13" t="s">
        <v>19</v>
      </c>
      <c r="E5" s="13" t="s">
        <v>20</v>
      </c>
      <c r="F5" s="23" t="str">
        <f t="shared" si="0"/>
        <v>Samsung Smartphone</v>
      </c>
      <c r="G5" s="26">
        <v>900</v>
      </c>
      <c r="H5" s="13">
        <v>25</v>
      </c>
      <c r="I5" s="12" t="s">
        <v>9</v>
      </c>
    </row>
    <row r="6" spans="1:9" x14ac:dyDescent="0.3">
      <c r="A6" s="12" t="s">
        <v>21</v>
      </c>
      <c r="B6" s="27">
        <f>DATEVALUE(LEFT(A6,6)&amp;"-2026")</f>
        <v>46164</v>
      </c>
      <c r="C6" s="23" t="str">
        <f>RIGHT(A6,2)</f>
        <v>US</v>
      </c>
      <c r="D6" s="12" t="s">
        <v>22</v>
      </c>
      <c r="E6" s="12" t="s">
        <v>23</v>
      </c>
      <c r="F6" s="23" t="str">
        <f t="shared" si="0"/>
        <v>North Face Backpack</v>
      </c>
      <c r="G6" s="26">
        <v>70</v>
      </c>
      <c r="H6" s="12">
        <v>20</v>
      </c>
      <c r="I6" s="12" t="s">
        <v>24</v>
      </c>
    </row>
    <row r="7" spans="1:9" x14ac:dyDescent="0.3">
      <c r="A7" s="13" t="s">
        <v>25</v>
      </c>
      <c r="B7" s="28">
        <f>DATEVALUE(LEFT(A7,6)&amp;"-2026")</f>
        <v>46180</v>
      </c>
      <c r="C7" s="24" t="str">
        <f>RIGHT(A7,2)</f>
        <v>UK</v>
      </c>
      <c r="D7" s="13" t="s">
        <v>26</v>
      </c>
      <c r="E7" s="13" t="s">
        <v>27</v>
      </c>
      <c r="F7" s="23" t="str">
        <f t="shared" si="0"/>
        <v>Sony Headphones</v>
      </c>
      <c r="G7" s="26">
        <v>200</v>
      </c>
      <c r="H7" s="13">
        <v>45</v>
      </c>
      <c r="I7" s="12" t="s">
        <v>9</v>
      </c>
    </row>
    <row r="8" spans="1:9" x14ac:dyDescent="0.3">
      <c r="A8" s="12" t="s">
        <v>28</v>
      </c>
      <c r="B8" s="27">
        <f>DATEVALUE(LEFT(A8,6)&amp;"-2026")</f>
        <v>46222</v>
      </c>
      <c r="C8" s="23" t="str">
        <f>RIGHT(A8,2)</f>
        <v>UK</v>
      </c>
      <c r="D8" s="12" t="s">
        <v>29</v>
      </c>
      <c r="E8" s="12" t="s">
        <v>30</v>
      </c>
      <c r="F8" s="23" t="str">
        <f t="shared" si="0"/>
        <v>Adidas T-shirt</v>
      </c>
      <c r="G8" s="26">
        <v>30</v>
      </c>
      <c r="H8" s="12">
        <v>5</v>
      </c>
      <c r="I8" s="12" t="s">
        <v>13</v>
      </c>
    </row>
    <row r="9" spans="1:9" x14ac:dyDescent="0.3">
      <c r="A9" s="13" t="s">
        <v>31</v>
      </c>
      <c r="B9" s="28">
        <f>DATEVALUE(LEFT(A9,6)&amp;"-2026")</f>
        <v>46257</v>
      </c>
      <c r="C9" s="24" t="str">
        <f>RIGHT(A9,2)</f>
        <v>UK</v>
      </c>
      <c r="D9" s="13" t="s">
        <v>32</v>
      </c>
      <c r="E9" s="13" t="s">
        <v>33</v>
      </c>
      <c r="F9" s="23" t="str">
        <f t="shared" si="0"/>
        <v>Ninja Blender</v>
      </c>
      <c r="G9" s="26">
        <v>90</v>
      </c>
      <c r="H9" s="13">
        <v>35</v>
      </c>
      <c r="I9" s="12" t="s">
        <v>17</v>
      </c>
    </row>
    <row r="10" spans="1:9" x14ac:dyDescent="0.3">
      <c r="A10" s="12" t="s">
        <v>34</v>
      </c>
      <c r="B10" s="27">
        <f>DATEVALUE(LEFT(A10,6)&amp;"-2026")</f>
        <v>46270</v>
      </c>
      <c r="C10" s="23" t="str">
        <f>RIGHT(A10,2)</f>
        <v>UK</v>
      </c>
      <c r="D10" s="12" t="s">
        <v>35</v>
      </c>
      <c r="E10" s="12" t="s">
        <v>36</v>
      </c>
      <c r="F10" s="23" t="str">
        <f t="shared" si="0"/>
        <v>Apple Tablet</v>
      </c>
      <c r="G10" s="26">
        <v>500</v>
      </c>
      <c r="H10" s="12">
        <v>50</v>
      </c>
      <c r="I10" s="12" t="s">
        <v>9</v>
      </c>
    </row>
    <row r="11" spans="1:9" x14ac:dyDescent="0.3">
      <c r="A11" s="13" t="s">
        <v>37</v>
      </c>
      <c r="B11" s="28">
        <f>DATEVALUE(LEFT(A11,6)&amp;"-2026")</f>
        <v>46309</v>
      </c>
      <c r="C11" s="24" t="str">
        <f>RIGHT(A11,2)</f>
        <v>UK</v>
      </c>
      <c r="D11" s="13" t="s">
        <v>38</v>
      </c>
      <c r="E11" s="13" t="s">
        <v>39</v>
      </c>
      <c r="F11" s="23" t="str">
        <f t="shared" si="0"/>
        <v>Timberland Hiking Boots</v>
      </c>
      <c r="G11" s="26">
        <v>130</v>
      </c>
      <c r="H11" s="13">
        <v>10</v>
      </c>
      <c r="I11" s="12" t="s">
        <v>24</v>
      </c>
    </row>
    <row r="12" spans="1:9" x14ac:dyDescent="0.3">
      <c r="A12" s="12" t="s">
        <v>40</v>
      </c>
      <c r="B12" s="27">
        <f>DATEVALUE(LEFT(A12,6)&amp;"-2026")</f>
        <v>46190</v>
      </c>
      <c r="C12" s="23" t="str">
        <f>RIGHT(A12,2)</f>
        <v>IN</v>
      </c>
      <c r="D12" s="12" t="s">
        <v>7</v>
      </c>
      <c r="E12" s="12" t="s">
        <v>41</v>
      </c>
      <c r="F12" s="23" t="str">
        <f t="shared" si="0"/>
        <v>HP Laptop</v>
      </c>
      <c r="G12" s="26">
        <v>950</v>
      </c>
      <c r="H12" s="12">
        <v>25</v>
      </c>
      <c r="I12" s="12" t="s">
        <v>9</v>
      </c>
    </row>
    <row r="13" spans="1:9" x14ac:dyDescent="0.3">
      <c r="A13" s="13" t="s">
        <v>42</v>
      </c>
      <c r="B13" s="28">
        <f>DATEVALUE(LEFT(A13,6)&amp;"-2026")</f>
        <v>46351</v>
      </c>
      <c r="C13" s="24" t="str">
        <f>RIGHT(A13,2)</f>
        <v>AU</v>
      </c>
      <c r="D13" s="13" t="s">
        <v>11</v>
      </c>
      <c r="E13" s="13" t="s">
        <v>30</v>
      </c>
      <c r="F13" s="23" t="str">
        <f t="shared" si="0"/>
        <v>Adidas Sneakers</v>
      </c>
      <c r="G13" s="26">
        <v>90</v>
      </c>
      <c r="H13" s="13">
        <v>40</v>
      </c>
      <c r="I13" s="12" t="s">
        <v>13</v>
      </c>
    </row>
    <row r="14" spans="1:9" x14ac:dyDescent="0.3">
      <c r="A14" s="12" t="s">
        <v>43</v>
      </c>
      <c r="B14" s="27">
        <f>DATEVALUE(LEFT(A14,6)&amp;"-2026")</f>
        <v>46364</v>
      </c>
      <c r="C14" s="23" t="str">
        <f>RIGHT(A14,2)</f>
        <v>DE</v>
      </c>
      <c r="D14" s="12" t="s">
        <v>15</v>
      </c>
      <c r="E14" s="12" t="s">
        <v>44</v>
      </c>
      <c r="F14" s="23" t="str">
        <f t="shared" si="0"/>
        <v>Nespresso Coffee Maker</v>
      </c>
      <c r="G14" s="26">
        <v>120</v>
      </c>
      <c r="H14" s="12">
        <v>35</v>
      </c>
      <c r="I14" s="12" t="s">
        <v>17</v>
      </c>
    </row>
    <row r="15" spans="1:9" x14ac:dyDescent="0.3">
      <c r="A15" s="13" t="s">
        <v>45</v>
      </c>
      <c r="B15" s="28">
        <f>DATEVALUE(LEFT(A15,6)&amp;"-2026")</f>
        <v>46071</v>
      </c>
      <c r="C15" s="24" t="str">
        <f>RIGHT(A15,2)</f>
        <v>CA</v>
      </c>
      <c r="D15" s="13" t="s">
        <v>46</v>
      </c>
      <c r="E15" s="13" t="s">
        <v>47</v>
      </c>
      <c r="F15" s="23" t="str">
        <f t="shared" si="0"/>
        <v>Fitbit Smartwatch</v>
      </c>
      <c r="G15" s="26">
        <v>150</v>
      </c>
      <c r="H15" s="13">
        <v>15</v>
      </c>
      <c r="I15" s="12" t="s">
        <v>9</v>
      </c>
    </row>
    <row r="16" spans="1:9" x14ac:dyDescent="0.3">
      <c r="A16" s="12" t="s">
        <v>48</v>
      </c>
      <c r="B16" s="27">
        <f>DATEVALUE(LEFT(A16,6)&amp;"-2026")</f>
        <v>46128</v>
      </c>
      <c r="C16" s="23" t="str">
        <f>RIGHT(A16,2)</f>
        <v>ES</v>
      </c>
      <c r="D16" s="12" t="s">
        <v>26</v>
      </c>
      <c r="E16" s="12" t="s">
        <v>49</v>
      </c>
      <c r="F16" s="23" t="str">
        <f t="shared" si="0"/>
        <v>Bose Headphones</v>
      </c>
      <c r="G16" s="26">
        <v>250</v>
      </c>
      <c r="H16" s="12">
        <v>20</v>
      </c>
      <c r="I16" s="12" t="s">
        <v>9</v>
      </c>
    </row>
    <row r="17" spans="1:9" x14ac:dyDescent="0.3">
      <c r="A17" s="12" t="s">
        <v>50</v>
      </c>
      <c r="B17" s="27">
        <f>DATEVALUE(LEFT(A17,6)&amp;"-2026")</f>
        <v>46255</v>
      </c>
      <c r="C17" s="23" t="str">
        <f>RIGHT(A17,2)</f>
        <v>CA</v>
      </c>
      <c r="D17" s="12" t="s">
        <v>51</v>
      </c>
      <c r="E17" s="12" t="s">
        <v>52</v>
      </c>
      <c r="F17" s="23" t="str">
        <f t="shared" si="0"/>
        <v>Samsonite Laptop Bag</v>
      </c>
      <c r="G17" s="26">
        <v>50</v>
      </c>
      <c r="H17" s="12">
        <v>35</v>
      </c>
      <c r="I17" s="12" t="s">
        <v>53</v>
      </c>
    </row>
    <row r="18" spans="1:9" x14ac:dyDescent="0.3">
      <c r="A18" s="12" t="s">
        <v>54</v>
      </c>
      <c r="B18" s="27">
        <f>DATEVALUE(LEFT(A18,6)&amp;"-2026")</f>
        <v>46254</v>
      </c>
      <c r="C18" s="23" t="str">
        <f>RIGHT(A18,2)</f>
        <v>CN</v>
      </c>
      <c r="D18" s="12" t="s">
        <v>46</v>
      </c>
      <c r="E18" s="12" t="s">
        <v>55</v>
      </c>
      <c r="F18" s="23" t="str">
        <f t="shared" si="0"/>
        <v>Huawei Smartwatch</v>
      </c>
      <c r="G18" s="26">
        <v>160</v>
      </c>
      <c r="H18" s="12">
        <v>15</v>
      </c>
      <c r="I18" s="12" t="s">
        <v>9</v>
      </c>
    </row>
    <row r="19" spans="1:9" x14ac:dyDescent="0.3">
      <c r="A19" s="13" t="s">
        <v>56</v>
      </c>
      <c r="B19" s="28">
        <f>DATEVALUE(LEFT(A19,6)&amp;"-2026")</f>
        <v>46049</v>
      </c>
      <c r="C19" s="24" t="str">
        <f>RIGHT(A19,2)</f>
        <v>IT</v>
      </c>
      <c r="D19" s="13" t="s">
        <v>7</v>
      </c>
      <c r="E19" s="13" t="s">
        <v>57</v>
      </c>
      <c r="F19" s="23" t="str">
        <f t="shared" si="0"/>
        <v>Asus Laptop</v>
      </c>
      <c r="G19" s="26">
        <v>980</v>
      </c>
      <c r="H19" s="13">
        <v>10</v>
      </c>
      <c r="I19" s="12" t="s">
        <v>9</v>
      </c>
    </row>
    <row r="20" spans="1:9" x14ac:dyDescent="0.3">
      <c r="A20" s="12" t="s">
        <v>58</v>
      </c>
      <c r="B20" s="27">
        <f>DATEVALUE(LEFT(A20,6)&amp;"-2026")</f>
        <v>46082</v>
      </c>
      <c r="C20" s="23" t="str">
        <f>RIGHT(A20,2)</f>
        <v>UK</v>
      </c>
      <c r="D20" s="12" t="s">
        <v>59</v>
      </c>
      <c r="E20" s="12" t="s">
        <v>60</v>
      </c>
      <c r="F20" s="23" t="str">
        <f t="shared" si="0"/>
        <v>Oakley Sunglasses</v>
      </c>
      <c r="G20" s="26">
        <v>150</v>
      </c>
      <c r="H20" s="12">
        <v>15</v>
      </c>
      <c r="I20" s="12" t="s">
        <v>13</v>
      </c>
    </row>
    <row r="21" spans="1:9" x14ac:dyDescent="0.3">
      <c r="A21" s="13" t="s">
        <v>61</v>
      </c>
      <c r="B21" s="28">
        <f>DATEVALUE(LEFT(A21,6)&amp;"-2026")</f>
        <v>46248</v>
      </c>
      <c r="C21" s="24" t="str">
        <f>RIGHT(A21,2)</f>
        <v>US</v>
      </c>
      <c r="D21" s="13" t="s">
        <v>62</v>
      </c>
      <c r="E21" s="13" t="s">
        <v>63</v>
      </c>
      <c r="F21" s="23" t="str">
        <f t="shared" si="0"/>
        <v>Coleman Camping Tent</v>
      </c>
      <c r="G21" s="26">
        <v>200</v>
      </c>
      <c r="H21" s="13">
        <v>10</v>
      </c>
      <c r="I21" s="12" t="s">
        <v>24</v>
      </c>
    </row>
    <row r="22" spans="1:9" x14ac:dyDescent="0.3">
      <c r="A22" s="12" t="s">
        <v>64</v>
      </c>
      <c r="B22" s="27">
        <f>DATEVALUE(LEFT(A22,6)&amp;"-2026")</f>
        <v>46156</v>
      </c>
      <c r="C22" s="23" t="str">
        <f>RIGHT(A22,2)</f>
        <v>RU</v>
      </c>
      <c r="D22" s="12" t="s">
        <v>65</v>
      </c>
      <c r="E22" s="12" t="s">
        <v>66</v>
      </c>
      <c r="F22" s="23" t="str">
        <f t="shared" si="0"/>
        <v>Nikon Camera</v>
      </c>
      <c r="G22" s="26">
        <v>700</v>
      </c>
      <c r="H22" s="12">
        <v>50</v>
      </c>
      <c r="I22" s="12" t="s">
        <v>9</v>
      </c>
    </row>
    <row r="23" spans="1:9" x14ac:dyDescent="0.3">
      <c r="A23" s="13" t="s">
        <v>67</v>
      </c>
      <c r="B23" s="28">
        <f>DATEVALUE(LEFT(A23,6)&amp;"-2026")</f>
        <v>46031</v>
      </c>
      <c r="C23" s="24" t="str">
        <f>RIGHT(A23,2)</f>
        <v>CA</v>
      </c>
      <c r="D23" s="13" t="s">
        <v>68</v>
      </c>
      <c r="E23" s="13" t="s">
        <v>69</v>
      </c>
      <c r="F23" s="23" t="str">
        <f t="shared" si="0"/>
        <v>Panasonic Microwave</v>
      </c>
      <c r="G23" s="26">
        <v>80</v>
      </c>
      <c r="H23" s="13">
        <v>20</v>
      </c>
      <c r="I23" s="12" t="s">
        <v>17</v>
      </c>
    </row>
    <row r="24" spans="1:9" x14ac:dyDescent="0.3">
      <c r="A24" s="12" t="s">
        <v>70</v>
      </c>
      <c r="B24" s="27">
        <f>DATEVALUE(LEFT(A24,6)&amp;"-2026")</f>
        <v>46222</v>
      </c>
      <c r="C24" s="23" t="str">
        <f>RIGHT(A24,2)</f>
        <v>BR</v>
      </c>
      <c r="D24" s="12" t="s">
        <v>71</v>
      </c>
      <c r="E24" s="12" t="s">
        <v>72</v>
      </c>
      <c r="F24" s="23" t="str">
        <f t="shared" si="0"/>
        <v>Xiaomi Fitness Tracker</v>
      </c>
      <c r="G24" s="26">
        <v>150</v>
      </c>
      <c r="H24" s="12">
        <v>30</v>
      </c>
      <c r="I24" s="12" t="s">
        <v>9</v>
      </c>
    </row>
    <row r="25" spans="1:9" x14ac:dyDescent="0.3">
      <c r="A25" s="12" t="s">
        <v>73</v>
      </c>
      <c r="B25" s="27">
        <f>DATEVALUE(LEFT(A25,6)&amp;"-2026")</f>
        <v>46294</v>
      </c>
      <c r="C25" s="23" t="str">
        <f>RIGHT(A25,2)</f>
        <v>CA</v>
      </c>
      <c r="D25" s="12" t="s">
        <v>19</v>
      </c>
      <c r="E25" s="12" t="s">
        <v>74</v>
      </c>
      <c r="F25" s="23" t="str">
        <f t="shared" si="0"/>
        <v>Google Smartphone</v>
      </c>
      <c r="G25" s="26">
        <v>800</v>
      </c>
      <c r="H25" s="12">
        <v>45</v>
      </c>
      <c r="I25" s="12" t="s">
        <v>9</v>
      </c>
    </row>
    <row r="26" spans="1:9" x14ac:dyDescent="0.3">
      <c r="A26" s="13" t="s">
        <v>75</v>
      </c>
      <c r="B26" s="28">
        <f>DATEVALUE(LEFT(A26,6)&amp;"-2026")</f>
        <v>46176</v>
      </c>
      <c r="C26" s="24" t="str">
        <f>RIGHT(A26,2)</f>
        <v>CA</v>
      </c>
      <c r="D26" s="13" t="s">
        <v>59</v>
      </c>
      <c r="E26" s="13" t="s">
        <v>76</v>
      </c>
      <c r="F26" s="23" t="str">
        <f t="shared" si="0"/>
        <v>Ray-Ban Sunglasses</v>
      </c>
      <c r="G26" s="26">
        <v>130</v>
      </c>
      <c r="H26" s="13">
        <v>25</v>
      </c>
      <c r="I26" s="12" t="s">
        <v>13</v>
      </c>
    </row>
    <row r="27" spans="1:9" x14ac:dyDescent="0.3">
      <c r="A27" s="12" t="s">
        <v>77</v>
      </c>
      <c r="B27" s="27">
        <f>DATEVALUE(LEFT(A27,6)&amp;"-2026")</f>
        <v>46214</v>
      </c>
      <c r="C27" s="23" t="str">
        <f>RIGHT(A27,2)</f>
        <v>CA</v>
      </c>
      <c r="D27" s="12" t="s">
        <v>32</v>
      </c>
      <c r="E27" s="12" t="s">
        <v>78</v>
      </c>
      <c r="F27" s="23" t="str">
        <f t="shared" si="0"/>
        <v>Vitamix Blender</v>
      </c>
      <c r="G27" s="26">
        <v>400</v>
      </c>
      <c r="H27" s="12">
        <v>40</v>
      </c>
      <c r="I27" s="12" t="s">
        <v>17</v>
      </c>
    </row>
    <row r="28" spans="1:9" x14ac:dyDescent="0.3">
      <c r="A28" s="13" t="s">
        <v>48</v>
      </c>
      <c r="B28" s="28">
        <f>DATEVALUE(LEFT(A28,6)&amp;"-2026")</f>
        <v>46128</v>
      </c>
      <c r="C28" s="24" t="str">
        <f>RIGHT(A28,2)</f>
        <v>ES</v>
      </c>
      <c r="D28" s="13" t="s">
        <v>26</v>
      </c>
      <c r="E28" s="13" t="s">
        <v>49</v>
      </c>
      <c r="F28" s="23" t="str">
        <f t="shared" si="0"/>
        <v>Bose Headphones</v>
      </c>
      <c r="G28" s="26">
        <v>230</v>
      </c>
      <c r="H28" s="13">
        <v>20</v>
      </c>
      <c r="I28" s="12" t="s">
        <v>9</v>
      </c>
    </row>
    <row r="29" spans="1:9" x14ac:dyDescent="0.3">
      <c r="A29" s="12" t="s">
        <v>79</v>
      </c>
      <c r="B29" s="27">
        <f>DATEVALUE(LEFT(A29,6)&amp;"-2026")</f>
        <v>46088</v>
      </c>
      <c r="C29" s="23" t="str">
        <f>RIGHT(A29,2)</f>
        <v>CA</v>
      </c>
      <c r="D29" s="12" t="s">
        <v>80</v>
      </c>
      <c r="E29" s="12" t="s">
        <v>81</v>
      </c>
      <c r="F29" s="23" t="str">
        <f t="shared" si="0"/>
        <v>Zara Dress</v>
      </c>
      <c r="G29" s="26">
        <v>60</v>
      </c>
      <c r="H29" s="12">
        <v>30</v>
      </c>
      <c r="I29" s="12" t="s">
        <v>13</v>
      </c>
    </row>
    <row r="30" spans="1:9" x14ac:dyDescent="0.3">
      <c r="A30" s="13" t="s">
        <v>82</v>
      </c>
      <c r="B30" s="28">
        <f>DATEVALUE(LEFT(A30,6)&amp;"-2026")</f>
        <v>46125</v>
      </c>
      <c r="C30" s="24" t="str">
        <f>RIGHT(A30,2)</f>
        <v>CA</v>
      </c>
      <c r="D30" s="13" t="s">
        <v>83</v>
      </c>
      <c r="E30" s="13" t="s">
        <v>84</v>
      </c>
      <c r="F30" s="23" t="str">
        <f t="shared" si="0"/>
        <v>Hamilton Toaster</v>
      </c>
      <c r="G30" s="26">
        <v>40</v>
      </c>
      <c r="H30" s="13">
        <v>10</v>
      </c>
      <c r="I30" s="12" t="s">
        <v>17</v>
      </c>
    </row>
    <row r="31" spans="1:9" x14ac:dyDescent="0.3">
      <c r="A31" s="12" t="s">
        <v>85</v>
      </c>
      <c r="B31" s="27">
        <f>DATEVALUE(LEFT(A31,6)&amp;"-2026")</f>
        <v>46166</v>
      </c>
      <c r="C31" s="23" t="str">
        <f>RIGHT(A31,2)</f>
        <v>CA</v>
      </c>
      <c r="D31" s="12" t="s">
        <v>71</v>
      </c>
      <c r="E31" s="12" t="s">
        <v>86</v>
      </c>
      <c r="F31" s="23" t="str">
        <f t="shared" si="0"/>
        <v>Garmin Fitness Tracker</v>
      </c>
      <c r="G31" s="26">
        <v>130</v>
      </c>
      <c r="H31" s="12">
        <v>5</v>
      </c>
      <c r="I31" s="12" t="s">
        <v>9</v>
      </c>
    </row>
    <row r="32" spans="1:9" x14ac:dyDescent="0.3">
      <c r="A32" s="13" t="s">
        <v>87</v>
      </c>
      <c r="B32" s="28">
        <f>DATEVALUE(LEFT(A32,6)&amp;"-2026")</f>
        <v>46358</v>
      </c>
      <c r="C32" s="24" t="str">
        <f>RIGHT(A32,2)</f>
        <v>CA</v>
      </c>
      <c r="D32" s="13" t="s">
        <v>88</v>
      </c>
      <c r="E32" s="13" t="s">
        <v>89</v>
      </c>
      <c r="F32" s="23" t="str">
        <f t="shared" si="0"/>
        <v>Levi's Jeans</v>
      </c>
      <c r="G32" s="26">
        <v>50</v>
      </c>
      <c r="H32" s="13">
        <v>50</v>
      </c>
      <c r="I32" s="12" t="s">
        <v>13</v>
      </c>
    </row>
    <row r="33" spans="1:9" x14ac:dyDescent="0.3">
      <c r="A33" s="13" t="s">
        <v>90</v>
      </c>
      <c r="B33" s="28">
        <f>DATEVALUE(LEFT(A33,6)&amp;"-2026")</f>
        <v>46212</v>
      </c>
      <c r="C33" s="24" t="str">
        <f>RIGHT(A33,2)</f>
        <v>FR</v>
      </c>
      <c r="D33" s="13" t="s">
        <v>91</v>
      </c>
      <c r="E33" s="13" t="s">
        <v>92</v>
      </c>
      <c r="F33" s="23" t="str">
        <f t="shared" si="0"/>
        <v>Casio Watch</v>
      </c>
      <c r="G33" s="26">
        <v>100</v>
      </c>
      <c r="H33" s="13">
        <v>20</v>
      </c>
      <c r="I33" s="12" t="s">
        <v>53</v>
      </c>
    </row>
  </sheetData>
  <phoneticPr fontId="17" type="noConversion"/>
  <conditionalFormatting sqref="H1:H33 D1:F33">
    <cfRule type="duplicateValues" priority="9"/>
  </conditionalFormatting>
  <conditionalFormatting sqref="G1:G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{4A94C228-92FB-48D5-9A0D-6032A78925E0}</x14:id>
        </ext>
      </extLst>
    </cfRule>
    <cfRule type="colorScale" priority="4">
      <colorScale>
        <cfvo type="min"/>
        <cfvo type="max"/>
        <color rgb="FFF8696B"/>
        <color rgb="FFFCFCFF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ntainsText" dxfId="0" priority="1" operator="containsText" text="Electronics">
      <formula>NOT(ISERROR(SEARCH("Electronics",I1)))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4C228-92FB-48D5-9A0D-6032A7892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1230-99E1-48C6-B582-8A95B9D58BB7}">
  <dimension ref="A1:F48"/>
  <sheetViews>
    <sheetView topLeftCell="A29" workbookViewId="0">
      <selection activeCell="A36" sqref="A36"/>
    </sheetView>
  </sheetViews>
  <sheetFormatPr defaultRowHeight="14.4" x14ac:dyDescent="0.3"/>
  <cols>
    <col min="1" max="2" width="13.44140625" customWidth="1"/>
    <col min="3" max="3" width="12.21875" customWidth="1"/>
    <col min="5" max="5" width="9.44140625" customWidth="1"/>
    <col min="6" max="6" width="14.44140625" customWidth="1"/>
  </cols>
  <sheetData>
    <row r="1" spans="1:2" ht="21" x14ac:dyDescent="0.5">
      <c r="A1" s="11" t="s">
        <v>111</v>
      </c>
    </row>
    <row r="2" spans="1:2" ht="18" x14ac:dyDescent="0.35">
      <c r="A2" s="21" t="s">
        <v>121</v>
      </c>
    </row>
    <row r="4" spans="1:2" x14ac:dyDescent="0.3">
      <c r="A4" t="s">
        <v>112</v>
      </c>
    </row>
    <row r="5" spans="1:2" x14ac:dyDescent="0.3">
      <c r="A5" t="s">
        <v>113</v>
      </c>
    </row>
    <row r="6" spans="1:2" x14ac:dyDescent="0.3">
      <c r="A6" t="s">
        <v>114</v>
      </c>
    </row>
    <row r="7" spans="1:2" x14ac:dyDescent="0.3">
      <c r="A7" t="s">
        <v>115</v>
      </c>
    </row>
    <row r="9" spans="1:2" ht="18" x14ac:dyDescent="0.35">
      <c r="A9" s="21" t="s">
        <v>147</v>
      </c>
    </row>
    <row r="11" spans="1:2" x14ac:dyDescent="0.3">
      <c r="A11" s="36" t="s">
        <v>144</v>
      </c>
    </row>
    <row r="12" spans="1:2" x14ac:dyDescent="0.3">
      <c r="A12" s="36" t="s">
        <v>145</v>
      </c>
    </row>
    <row r="13" spans="1:2" x14ac:dyDescent="0.3">
      <c r="A13" s="36" t="s">
        <v>146</v>
      </c>
    </row>
    <row r="15" spans="1:2" ht="18" x14ac:dyDescent="0.35">
      <c r="A15" s="21" t="s">
        <v>118</v>
      </c>
      <c r="B15" s="21"/>
    </row>
    <row r="17" spans="1:6" x14ac:dyDescent="0.3">
      <c r="A17" t="s">
        <v>119</v>
      </c>
    </row>
    <row r="18" spans="1:6" x14ac:dyDescent="0.3">
      <c r="A18" s="20" t="s">
        <v>120</v>
      </c>
    </row>
    <row r="19" spans="1:6" x14ac:dyDescent="0.3">
      <c r="A19" s="20"/>
    </row>
    <row r="20" spans="1:6" x14ac:dyDescent="0.3">
      <c r="A20" s="18" t="s">
        <v>0</v>
      </c>
      <c r="B20" s="18" t="s">
        <v>1</v>
      </c>
      <c r="C20" s="18" t="s">
        <v>2</v>
      </c>
      <c r="D20" s="18" t="s">
        <v>3</v>
      </c>
      <c r="E20" s="18" t="s">
        <v>4</v>
      </c>
      <c r="F20" s="18" t="s">
        <v>5</v>
      </c>
    </row>
    <row r="21" spans="1:6" x14ac:dyDescent="0.3">
      <c r="A21" s="17" t="s">
        <v>40</v>
      </c>
      <c r="B21" s="17" t="s">
        <v>7</v>
      </c>
      <c r="C21" s="17" t="s">
        <v>41</v>
      </c>
      <c r="D21" s="17">
        <v>950</v>
      </c>
      <c r="E21" s="17">
        <v>25</v>
      </c>
      <c r="F21" s="17" t="s">
        <v>9</v>
      </c>
    </row>
    <row r="22" spans="1:6" x14ac:dyDescent="0.3">
      <c r="A22" s="17" t="s">
        <v>40</v>
      </c>
      <c r="B22" s="17" t="s">
        <v>7</v>
      </c>
      <c r="C22" s="17" t="s">
        <v>41</v>
      </c>
      <c r="D22" s="17">
        <v>950</v>
      </c>
      <c r="E22" s="17">
        <v>25</v>
      </c>
      <c r="F22" s="17" t="s">
        <v>9</v>
      </c>
    </row>
    <row r="23" spans="1:6" x14ac:dyDescent="0.3">
      <c r="A23" s="17" t="s">
        <v>50</v>
      </c>
      <c r="B23" s="19" t="s">
        <v>51</v>
      </c>
      <c r="C23" s="19" t="s">
        <v>52</v>
      </c>
      <c r="D23" s="19">
        <v>50</v>
      </c>
      <c r="E23" s="19">
        <v>35</v>
      </c>
      <c r="F23" s="19" t="s">
        <v>53</v>
      </c>
    </row>
    <row r="24" spans="1:6" x14ac:dyDescent="0.3">
      <c r="A24" s="19" t="s">
        <v>50</v>
      </c>
      <c r="B24" s="19" t="s">
        <v>51</v>
      </c>
      <c r="C24" s="19" t="s">
        <v>52</v>
      </c>
      <c r="D24" s="19">
        <v>50</v>
      </c>
      <c r="E24" s="19">
        <v>35</v>
      </c>
      <c r="F24" s="19" t="s">
        <v>53</v>
      </c>
    </row>
    <row r="25" spans="1:6" x14ac:dyDescent="0.3">
      <c r="A25" s="37"/>
      <c r="B25" s="37"/>
      <c r="C25" s="37"/>
      <c r="D25" s="37"/>
      <c r="E25" s="37"/>
      <c r="F25" s="37"/>
    </row>
    <row r="26" spans="1:6" x14ac:dyDescent="0.3">
      <c r="A26" t="s">
        <v>131</v>
      </c>
    </row>
    <row r="27" spans="1:6" x14ac:dyDescent="0.3">
      <c r="A27" t="s">
        <v>132</v>
      </c>
    </row>
    <row r="28" spans="1:6" x14ac:dyDescent="0.3">
      <c r="A28" t="s">
        <v>133</v>
      </c>
    </row>
    <row r="30" spans="1:6" ht="18" x14ac:dyDescent="0.35">
      <c r="A30" t="s">
        <v>125</v>
      </c>
    </row>
    <row r="32" spans="1:6" x14ac:dyDescent="0.3">
      <c r="A32" t="s">
        <v>126</v>
      </c>
    </row>
    <row r="33" spans="1:1" x14ac:dyDescent="0.3">
      <c r="A33" t="s">
        <v>127</v>
      </c>
    </row>
    <row r="34" spans="1:1" x14ac:dyDescent="0.3">
      <c r="A34" t="s">
        <v>128</v>
      </c>
    </row>
    <row r="35" spans="1:1" x14ac:dyDescent="0.3">
      <c r="A35" t="s">
        <v>129</v>
      </c>
    </row>
    <row r="36" spans="1:1" x14ac:dyDescent="0.3">
      <c r="A36" t="s">
        <v>130</v>
      </c>
    </row>
    <row r="38" spans="1:1" ht="18" x14ac:dyDescent="0.35">
      <c r="A38" s="31" t="s">
        <v>134</v>
      </c>
    </row>
    <row r="40" spans="1:1" x14ac:dyDescent="0.3">
      <c r="A40" t="s">
        <v>135</v>
      </c>
    </row>
    <row r="41" spans="1:1" x14ac:dyDescent="0.3">
      <c r="A41" t="s">
        <v>137</v>
      </c>
    </row>
    <row r="42" spans="1:1" x14ac:dyDescent="0.3">
      <c r="A42" t="s">
        <v>136</v>
      </c>
    </row>
    <row r="44" spans="1:1" ht="18" x14ac:dyDescent="0.35">
      <c r="A44" s="31" t="s">
        <v>138</v>
      </c>
    </row>
    <row r="46" spans="1:1" x14ac:dyDescent="0.3">
      <c r="A46" t="s">
        <v>139</v>
      </c>
    </row>
    <row r="47" spans="1:1" x14ac:dyDescent="0.3">
      <c r="A47" t="s">
        <v>140</v>
      </c>
    </row>
    <row r="48" spans="1:1" x14ac:dyDescent="0.3">
      <c r="A48" t="s">
        <v>141</v>
      </c>
    </row>
  </sheetData>
  <conditionalFormatting sqref="B20:F20">
    <cfRule type="duplicateValues" priority="4"/>
  </conditionalFormatting>
  <conditionalFormatting sqref="B21:F21">
    <cfRule type="duplicateValues" priority="5"/>
  </conditionalFormatting>
  <conditionalFormatting sqref="B22:F22">
    <cfRule type="duplicateValues" priority="1"/>
  </conditionalFormatting>
  <conditionalFormatting sqref="B23:F23">
    <cfRule type="duplicateValues" priority="3"/>
  </conditionalFormatting>
  <conditionalFormatting sqref="B24:F25">
    <cfRule type="duplicateValues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</vt:lpstr>
      <vt:lpstr>Data set</vt:lpstr>
      <vt:lpstr>Data Cleaning</vt:lpstr>
      <vt:lpstr>Data Cleaned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2026-06-28T04:48:11Z</dcterms:created>
  <dcterms:modified xsi:type="dcterms:W3CDTF">2026-06-29T06:58:03Z</dcterms:modified>
</cp:coreProperties>
</file>